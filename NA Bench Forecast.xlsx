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49377630-B33A-E340-8802-9DB5AB916347}" xr6:coauthVersionLast="47" xr6:coauthVersionMax="47" xr10:uidLastSave="{00000000-0000-0000-0000-000000000000}"/>
  <bookViews>
    <workbookView xWindow="1200" yWindow="2520" windowWidth="27320" windowHeight="16080" xr2:uid="{25195C4B-21BA-C647-88E3-DB4384B68E18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8"/>
  <pivotCaches>
    <pivotCache cacheId="438" r:id="rId8"/>
    <pivotCache cacheId="44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C9" i="1"/>
  <c r="D9" i="1"/>
  <c r="E9" i="1"/>
  <c r="F9" i="1"/>
  <c r="G9" i="1"/>
  <c r="H9" i="1"/>
  <c r="I9" i="1"/>
  <c r="J9" i="1"/>
  <c r="K9" i="1"/>
  <c r="L9" i="1"/>
  <c r="M9" i="1"/>
  <c r="N9" i="1"/>
  <c r="B9" i="1"/>
  <c r="L79" i="2"/>
  <c r="L80" i="2"/>
  <c r="L81" i="2"/>
  <c r="L82" i="2"/>
  <c r="L83" i="2"/>
  <c r="L84" i="2"/>
  <c r="K84" i="2"/>
  <c r="K83" i="2"/>
  <c r="K82" i="2"/>
  <c r="K81" i="2"/>
  <c r="K80" i="2"/>
  <c r="K79" i="2"/>
  <c r="N18" i="3" l="1"/>
  <c r="N19" i="3"/>
  <c r="N20" i="3"/>
  <c r="N21" i="3"/>
  <c r="N22" i="3"/>
  <c r="N23" i="3"/>
  <c r="N17" i="3"/>
  <c r="M18" i="3"/>
  <c r="M19" i="3"/>
  <c r="M20" i="3"/>
  <c r="M21" i="3"/>
  <c r="M22" i="3"/>
  <c r="M23" i="3"/>
  <c r="M17" i="3"/>
  <c r="L18" i="3"/>
  <c r="L19" i="3"/>
  <c r="L20" i="3"/>
  <c r="L21" i="3"/>
  <c r="L25" i="3" s="1"/>
  <c r="L32" i="3" s="1"/>
  <c r="L22" i="3"/>
  <c r="L23" i="3"/>
  <c r="L17" i="3"/>
  <c r="K18" i="3"/>
  <c r="K19" i="3"/>
  <c r="K20" i="3"/>
  <c r="K25" i="3" s="1"/>
  <c r="K32" i="3" s="1"/>
  <c r="K21" i="3"/>
  <c r="K22" i="3"/>
  <c r="K23" i="3"/>
  <c r="K17" i="3"/>
  <c r="J18" i="3"/>
  <c r="J19" i="3"/>
  <c r="J20" i="3"/>
  <c r="J21" i="3"/>
  <c r="J22" i="3"/>
  <c r="J23" i="3"/>
  <c r="J17" i="3"/>
  <c r="I18" i="3"/>
  <c r="I19" i="3"/>
  <c r="I20" i="3"/>
  <c r="I21" i="3"/>
  <c r="I22" i="3"/>
  <c r="I23" i="3"/>
  <c r="I17" i="3"/>
  <c r="H18" i="3"/>
  <c r="H19" i="3"/>
  <c r="H20" i="3"/>
  <c r="H21" i="3"/>
  <c r="H22" i="3"/>
  <c r="H23" i="3"/>
  <c r="H17" i="3"/>
  <c r="G18" i="3"/>
  <c r="G19" i="3"/>
  <c r="G20" i="3"/>
  <c r="G21" i="3"/>
  <c r="G25" i="3" s="1"/>
  <c r="G32" i="3" s="1"/>
  <c r="G22" i="3"/>
  <c r="G23" i="3"/>
  <c r="G17" i="3"/>
  <c r="F18" i="3"/>
  <c r="F19" i="3"/>
  <c r="F20" i="3"/>
  <c r="F21" i="3"/>
  <c r="F22" i="3"/>
  <c r="F23" i="3"/>
  <c r="F17" i="3"/>
  <c r="E18" i="3"/>
  <c r="E19" i="3"/>
  <c r="E20" i="3"/>
  <c r="E21" i="3"/>
  <c r="E22" i="3"/>
  <c r="E23" i="3"/>
  <c r="E17" i="3"/>
  <c r="D18" i="3"/>
  <c r="D19" i="3"/>
  <c r="D20" i="3"/>
  <c r="D21" i="3"/>
  <c r="D22" i="3"/>
  <c r="D23" i="3"/>
  <c r="D17" i="3"/>
  <c r="C25" i="3"/>
  <c r="D25" i="3"/>
  <c r="D32" i="3" s="1"/>
  <c r="E25" i="3"/>
  <c r="E32" i="3" s="1"/>
  <c r="F25" i="3"/>
  <c r="F32" i="3" s="1"/>
  <c r="H25" i="3"/>
  <c r="H32" i="3" s="1"/>
  <c r="I25" i="3"/>
  <c r="I32" i="3" s="1"/>
  <c r="J25" i="3"/>
  <c r="J32" i="3" s="1"/>
  <c r="M25" i="3"/>
  <c r="M32" i="3" s="1"/>
  <c r="N25" i="3"/>
  <c r="N32" i="3" s="1"/>
  <c r="C18" i="3"/>
  <c r="C19" i="3"/>
  <c r="C20" i="3"/>
  <c r="C21" i="3"/>
  <c r="C22" i="3"/>
  <c r="C23" i="3"/>
  <c r="C17" i="3"/>
  <c r="B25" i="3"/>
  <c r="B18" i="3"/>
  <c r="B19" i="3"/>
  <c r="B20" i="3"/>
  <c r="B21" i="3"/>
  <c r="B22" i="3"/>
  <c r="B23" i="3"/>
  <c r="B17" i="3"/>
  <c r="C31" i="3"/>
  <c r="D31" i="3"/>
  <c r="E31" i="3"/>
  <c r="F31" i="3"/>
  <c r="G31" i="3"/>
  <c r="H31" i="3"/>
  <c r="I31" i="3"/>
  <c r="J31" i="3"/>
  <c r="K31" i="3"/>
  <c r="L31" i="3"/>
  <c r="M31" i="3"/>
  <c r="N31" i="3"/>
  <c r="B31" i="3"/>
  <c r="C32" i="3"/>
  <c r="B32" i="3"/>
  <c r="L78" i="2" l="1"/>
  <c r="L77" i="2"/>
  <c r="J77" i="2"/>
  <c r="I77" i="2"/>
  <c r="H77" i="2"/>
  <c r="G77" i="2"/>
  <c r="F77" i="2"/>
  <c r="K77" i="2" s="1"/>
  <c r="E77" i="2"/>
  <c r="D77" i="2"/>
  <c r="L76" i="2"/>
  <c r="K76" i="2"/>
  <c r="L75" i="2"/>
  <c r="J75" i="2"/>
  <c r="I75" i="2"/>
  <c r="H75" i="2"/>
  <c r="G75" i="2"/>
  <c r="K75" i="2" s="1"/>
  <c r="F75" i="2"/>
  <c r="E75" i="2"/>
  <c r="D75" i="2"/>
  <c r="L74" i="2"/>
  <c r="K74" i="2"/>
  <c r="L73" i="2"/>
  <c r="J73" i="2"/>
  <c r="I73" i="2"/>
  <c r="H73" i="2"/>
  <c r="K73" i="2" s="1"/>
  <c r="G73" i="2"/>
  <c r="F73" i="2"/>
  <c r="E73" i="2"/>
  <c r="D73" i="2"/>
  <c r="L72" i="2"/>
  <c r="K72" i="2"/>
  <c r="L71" i="2"/>
  <c r="J71" i="2"/>
  <c r="I71" i="2"/>
  <c r="K71" i="2" s="1"/>
  <c r="H71" i="2"/>
  <c r="G71" i="2"/>
  <c r="F71" i="2"/>
  <c r="E71" i="2"/>
  <c r="D71" i="2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</calcChain>
</file>

<file path=xl/sharedStrings.xml><?xml version="1.0" encoding="utf-8"?>
<sst xmlns="http://schemas.openxmlformats.org/spreadsheetml/2006/main" count="506" uniqueCount="169">
  <si>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</si>
  <si>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</si>
  <si>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</si>
  <si>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</si>
  <si>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</si>
  <si>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</si>
  <si>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</si>
  <si>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</si>
  <si>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</si>
  <si>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</si>
  <si>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</si>
  <si>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</si>
  <si>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</si>
  <si>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</si>
  <si>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</si>
  <si>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</si>
  <si>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</si>
  <si>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</si>
  <si>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</si>
  <si>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</si>
  <si>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</si>
  <si>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</si>
  <si>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</si>
  <si>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</si>
  <si>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</si>
  <si>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</si>
  <si>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</si>
  <si>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</si>
  <si>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</si>
  <si>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</si>
  <si>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</si>
  <si>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</si>
  <si>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</si>
  <si>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</si>
  <si>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</si>
  <si>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</si>
  <si>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</si>
  <si>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</si>
  <si>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</si>
  <si>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</si>
  <si>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</si>
  <si>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</si>
  <si>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</si>
  <si>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</si>
  <si>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</si>
  <si>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</si>
  <si>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</si>
  <si>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</si>
  <si>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</si>
  <si>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</si>
  <si>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</si>
  <si>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</si>
  <si>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</si>
  <si>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</si>
  <si>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</si>
  <si>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</si>
  <si>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</si>
  <si>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</si>
  <si>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</si>
  <si>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</si>
  <si>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</si>
  <si>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</si>
  <si>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</si>
  <si>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</si>
  <si>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</si>
  <si>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</si>
  <si>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</si>
  <si>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</si>
  <si>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</si>
  <si>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</si>
  <si>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</si>
  <si>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</si>
  <si>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</si>
  <si>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</si>
  <si>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</si>
  <si>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</si>
  <si>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</si>
  <si>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</si>
  <si>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</si>
  <si>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</si>
  <si>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</si>
  <si>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</si>
  <si>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</si>
  <si>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</si>
  <si>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</si>
  <si>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</si>
  <si>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</si>
  <si>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</si>
  <si>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</si>
  <si>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</si>
  <si>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</si>
  <si>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</si>
  <si>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</si>
  <si>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</si>
  <si>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</si>
  <si>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</si>
  <si>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</si>
  <si>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</si>
  <si>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</si>
  <si>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</si>
  <si>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</si>
  <si>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</si>
  <si>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</si>
  <si>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</si>
  <si>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</si>
  <si>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</si>
  <si>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</si>
  <si>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</si>
  <si>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</si>
  <si>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</si>
  <si>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</si>
  <si>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</si>
  <si>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</si>
  <si>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</si>
  <si>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</si>
  <si>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</si>
  <si>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</si>
  <si>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</si>
  <si>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</si>
  <si>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</si>
  <si>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</si>
  <si>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</si>
  <si>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</si>
  <si>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</si>
  <si>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</si>
  <si>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</si>
  <si>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</si>
  <si>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</si>
  <si>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</si>
  <si>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</si>
  <si>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</si>
  <si>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</si>
  <si>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</si>
  <si>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</si>
  <si>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</si>
  <si>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</si>
  <si>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</si>
  <si>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</si>
  <si>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</si>
  <si>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</si>
  <si>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</si>
  <si>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</si>
  <si>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</si>
  <si>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</si>
  <si>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</si>
  <si>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</si>
  <si>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</si>
  <si>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</si>
  <si>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</si>
  <si>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</si>
  <si>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</si>
  <si>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</si>
  <si>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</si>
  <si>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</si>
  <si>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</si>
  <si>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</si>
  <si>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</si>
  <si>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</si>
  <si>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</si>
  <si>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</si>
  <si>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</si>
  <si>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</si>
  <si>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</si>
  <si>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</si>
  <si>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WK2</t>
  </si>
  <si>
    <t>3Q26 WK3</t>
  </si>
  <si>
    <t>3Q26 WK4</t>
  </si>
  <si>
    <t>3Q26 WK5</t>
  </si>
  <si>
    <t>3Q26 WK6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</si>
</sst>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164" fontId="9" fillId="9" borderId="8" xfId="0" applyNumberFormat="1" applyFont="1" applyFill="1" applyBorder="1" applyAlignment="1" applyProtection="1">
      <alignment horizontal="center" vertical="center" wrapText="1" readingOrder="1"/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NumberFormat="1" applyAlignment="1">
      <alignment horizontal="center"/>
    </xf>
  </cellXfs>
  <cellStyles count="3">
    <cellStyle name="Normal" xfId="0" builtinId="0"/>
    <cellStyle name="Normal 3" xfId="2" xr:uid="{08B8F7EA-76D3-DF45-B2B8-F681551BBCE4}"/>
    <cellStyle name="Percent" xfId="1" builtinId="5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196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9580404402314466E-2"/>
                  <c:y val="4.4731213182075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807-4429-A5F0-08C1BFB94EAB}"/>
                </c:ext>
              </c:extLst>
            </c:dLbl>
            <c:dLbl>
              <c:idx val="1"/>
              <c:layout>
                <c:manualLayout>
                  <c:x val="-3.749239352242862E-2"/>
                  <c:y val="4.82476960378314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07-4429-A5F0-08C1BFB94EAB}"/>
                </c:ext>
              </c:extLst>
            </c:dLbl>
            <c:dLbl>
              <c:idx val="2"/>
              <c:layout>
                <c:manualLayout>
                  <c:x val="-3.9574338892182113E-2"/>
                  <c:y val="4.44296801133980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07-4429-A5F0-08C1BFB94EAB}"/>
                </c:ext>
              </c:extLst>
            </c:dLbl>
            <c:dLbl>
              <c:idx val="3"/>
              <c:layout>
                <c:manualLayout>
                  <c:x val="-3.7493541051372578E-2"/>
                  <c:y val="5.2126138828470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07-4429-A5F0-08C1BFB94EAB}"/>
                </c:ext>
              </c:extLst>
            </c:dLbl>
            <c:dLbl>
              <c:idx val="4"/>
              <c:layout>
                <c:manualLayout>
                  <c:x val="-3.7497311503617015E-2"/>
                  <c:y val="6.321852729806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07-4429-A5F0-08C1BFB94EAB}"/>
                </c:ext>
              </c:extLst>
            </c:dLbl>
            <c:dLbl>
              <c:idx val="5"/>
              <c:layout>
                <c:manualLayout>
                  <c:x val="-4.1666120224312403E-2"/>
                  <c:y val="6.327865353309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07-4429-A5F0-08C1BFB94EAB}"/>
                </c:ext>
              </c:extLst>
            </c:dLbl>
            <c:dLbl>
              <c:idx val="6"/>
              <c:layout>
                <c:manualLayout>
                  <c:x val="-4.3748065594065973E-2"/>
                  <c:y val="-5.24877981321785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07-4429-A5F0-08C1BFB94EAB}"/>
                </c:ext>
              </c:extLst>
            </c:dLbl>
            <c:dLbl>
              <c:idx val="7"/>
              <c:layout>
                <c:manualLayout>
                  <c:x val="-3.9576797882776391E-2"/>
                  <c:y val="-5.2367245030942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07-4429-A5F0-08C1BFB94EAB}"/>
                </c:ext>
              </c:extLst>
            </c:dLbl>
            <c:dLbl>
              <c:idx val="8"/>
              <c:layout>
                <c:manualLayout>
                  <c:x val="-3.9580404402314466E-2"/>
                  <c:y val="-5.2186265063500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07-4429-A5F0-08C1BFB94EAB}"/>
                </c:ext>
              </c:extLst>
            </c:dLbl>
            <c:dLbl>
              <c:idx val="9"/>
              <c:layout>
                <c:manualLayout>
                  <c:x val="-4.1661202243124008E-2"/>
                  <c:y val="-4.8790335308981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07-4429-A5F0-08C1BFB94EAB}"/>
                </c:ext>
              </c:extLst>
            </c:dLbl>
            <c:dLbl>
              <c:idx val="10"/>
              <c:layout>
                <c:manualLayout>
                  <c:x val="-4.3740688622283308E-2"/>
                  <c:y val="-5.6305814056611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07-4429-A5F0-08C1BFB94EAB}"/>
                </c:ext>
              </c:extLst>
            </c:dLbl>
            <c:dLbl>
              <c:idx val="11"/>
              <c:layout>
                <c:manualLayout>
                  <c:x val="-3.9580404402314466E-2"/>
                  <c:y val="-5.25479243672089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07-4429-A5F0-08C1BFB94EAB}"/>
                </c:ext>
              </c:extLst>
            </c:dLbl>
            <c:dLbl>
              <c:idx val="12"/>
              <c:layout>
                <c:manualLayout>
                  <c:x val="-2.7080043750360654E-2"/>
                  <c:y val="-4.48517662833118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07-4429-A5F0-08C1BFB94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7.0541480377545956E-2</c:v>
                </c:pt>
                <c:pt idx="1">
                  <c:v>7.7993045206159961E-2</c:v>
                </c:pt>
                <c:pt idx="2">
                  <c:v>7.9980129160457034E-2</c:v>
                </c:pt>
                <c:pt idx="3">
                  <c:v>8.3457526080476907E-2</c:v>
                </c:pt>
                <c:pt idx="4">
                  <c:v>8.2463984103328364E-2</c:v>
                </c:pt>
                <c:pt idx="5">
                  <c:v>8.9418777943368111E-2</c:v>
                </c:pt>
                <c:pt idx="6">
                  <c:v>8.9915548931942368E-2</c:v>
                </c:pt>
                <c:pt idx="7">
                  <c:v>8.9418777943368111E-2</c:v>
                </c:pt>
                <c:pt idx="8">
                  <c:v>8.8425235966219567E-2</c:v>
                </c:pt>
                <c:pt idx="9">
                  <c:v>0.10531544957774466</c:v>
                </c:pt>
                <c:pt idx="10">
                  <c:v>0.11028315946348734</c:v>
                </c:pt>
                <c:pt idx="11">
                  <c:v>0.11028315946348734</c:v>
                </c:pt>
                <c:pt idx="12">
                  <c:v>0.10829607550919026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07-4429-A5F0-08C1BFB94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'Historic Bench Data'!$Q$24:$Q$107</c:f>
              <c:strCache>
                <c:ptCount val="83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</c:strCache>
            </c:strRef>
          </c:cat>
          <c:val>
            <c:numRef>
              <c:f>'Historic Bench Data'!$R$24:$R$107</c:f>
              <c:numCache>
                <c:formatCode>General</c:formatCode>
                <c:ptCount val="83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134</c:v>
                </c:pt>
                <c:pt idx="36">
                  <c:v>123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EA-984F-B882-C9B909198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  <c:spPr>
        <a:noFill/>
        <a:ln>
          <a:solidFill>
            <a:schemeClr val="tx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/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-2.2126262948452564E-2"/>
              <c:y val="-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layout>
            <c:manualLayout>
              <c:x val="-2.2126262948452668E-2"/>
              <c:y val="-5.41142362367903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2.2126262948452668E-2"/>
              <c:y val="-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2.3523122983077197E-2"/>
              <c:y val="7.66477881633202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2.771370308695079E-2"/>
              <c:y val="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-2.2126262948452564E-2"/>
              <c:y val="0.1712212830285094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layout>
            <c:manualLayout>
              <c:x val="-2.7713703086950689E-2"/>
              <c:y val="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2.2126262948452564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2.2126262948452564E-2"/>
              <c:y val="0.121647468790143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2.3523122983077096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-2.2126262948452564E-2"/>
              <c:y val="0.1306608895607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layout>
            <c:manualLayout>
              <c:x val="-2.2126262948452564E-2"/>
              <c:y val="-9.91139168636134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7713706135152932E-2"/>
              <c:y val="8.1154498548626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6316845946889177E-2"/>
              <c:y val="7.21410777780142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0729405193834149E-2"/>
              <c:y val="8.566120893393225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2126265382097905E-2"/>
              <c:y val="9.46746297045443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3523125570361764E-2"/>
              <c:y val="0.108194760860462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4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v>Q3 26 Forecast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1E3-2B41-99C6-7DDA5774227E}"/>
              </c:ext>
            </c:extLst>
          </c:dPt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156</c:v>
              </c:pt>
              <c:pt idx="1">
                <c:v>157</c:v>
              </c:pt>
              <c:pt idx="2">
                <c:v>161</c:v>
              </c:pt>
              <c:pt idx="3">
                <c:v>168</c:v>
              </c:pt>
              <c:pt idx="4">
                <c:v>166</c:v>
              </c:pt>
              <c:pt idx="5">
                <c:v>180</c:v>
              </c:pt>
              <c:pt idx="6">
                <c:v>199</c:v>
              </c:pt>
              <c:pt idx="7">
                <c:v>196</c:v>
              </c:pt>
              <c:pt idx="8">
                <c:v>191</c:v>
              </c:pt>
              <c:pt idx="9">
                <c:v>220</c:v>
              </c:pt>
              <c:pt idx="10">
                <c:v>232</c:v>
              </c:pt>
              <c:pt idx="11">
                <c:v>232</c:v>
              </c:pt>
              <c:pt idx="12">
                <c:v>228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2-F1E3-2B41-99C6-7DDA5774227E}"/>
            </c:ext>
          </c:extLst>
        </c:ser>
        <c:ser>
          <c:idx val="1"/>
          <c:order val="1"/>
          <c:tx>
            <c:v>Q3 25 bench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148</c:v>
              </c:pt>
              <c:pt idx="2">
                <c:v>133</c:v>
              </c:pt>
              <c:pt idx="3">
                <c:v>138</c:v>
              </c:pt>
              <c:pt idx="4">
                <c:v>121</c:v>
              </c:pt>
              <c:pt idx="5">
                <c:v>136</c:v>
              </c:pt>
              <c:pt idx="6">
                <c:v>119</c:v>
              </c:pt>
              <c:pt idx="7">
                <c:v>114</c:v>
              </c:pt>
              <c:pt idx="8">
                <c:v>104</c:v>
              </c:pt>
              <c:pt idx="9">
                <c:v>112</c:v>
              </c:pt>
              <c:pt idx="10">
                <c:v>98</c:v>
              </c:pt>
              <c:pt idx="11">
                <c:v>95</c:v>
              </c:pt>
              <c:pt idx="12">
                <c:v>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D-F1E3-2B41-99C6-7DDA5774227E}"/>
            </c:ext>
          </c:extLst>
        </c:ser>
        <c:ser>
          <c:idx val="2"/>
          <c:order val="2"/>
          <c:tx>
            <c:v>Q3 Original Forecast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F1E3-2B41-99C6-7DDA5774227E}"/>
              </c:ext>
            </c:extLst>
          </c:dPt>
          <c:dPt>
            <c:idx val="4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F1E3-2B41-99C6-7DDA5774227E}"/>
              </c:ext>
            </c:extLst>
          </c:dPt>
          <c:dPt>
            <c:idx val="5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161</c:v>
              </c:pt>
              <c:pt idx="2">
                <c:v>154</c:v>
              </c:pt>
              <c:pt idx="3">
                <c:v>156</c:v>
              </c:pt>
              <c:pt idx="4">
                <c:v>152</c:v>
              </c:pt>
              <c:pt idx="5">
                <c:v>165</c:v>
              </c:pt>
              <c:pt idx="6">
                <c:v>175</c:v>
              </c:pt>
              <c:pt idx="7">
                <c:v>176</c:v>
              </c:pt>
              <c:pt idx="8">
                <c:v>171</c:v>
              </c:pt>
              <c:pt idx="9">
                <c:v>196</c:v>
              </c:pt>
              <c:pt idx="10">
                <c:v>192</c:v>
              </c:pt>
              <c:pt idx="11">
                <c:v>191</c:v>
              </c:pt>
              <c:pt idx="12">
                <c:v>187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2A-F1E3-2B41-99C6-7DDA57742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A4E960-414F-128A-6BB5-16CBBEE074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3973</xdr:colOff>
      <xdr:row>107</xdr:row>
      <xdr:rowOff>132690</xdr:rowOff>
    </xdr:from>
    <xdr:to>
      <xdr:col>26</xdr:col>
      <xdr:colOff>100794</xdr:colOff>
      <xdr:row>132</xdr:row>
      <xdr:rowOff>100793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1C085-8957-8749-9252-885ADA63B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385C2E-02E4-214C-8C54-4372D709B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41.419074537036" createdVersion="8" refreshedVersion="8" minRefreshableVersion="3" recordCount="83" xr:uid="{C1EC0577-5798-BD42-8B69-BE725BAFED20}">
  <cacheSource type="worksheet">
    <worksheetSource ref="N2:O85" sheet="Historic Bench Data"/>
  </cacheSource>
  <cacheFields count="2">
    <cacheField name="Wk" numFmtId="0">
      <sharedItems count="101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01" u="1"/>
        <s v="3Q26 WK02" u="1"/>
        <s v="3Q26 WK03" u="1"/>
        <s v="3Q26 WK04" u="1"/>
        <s v="3Q26 WK05" u="1"/>
        <s v="3Q26 WK06" u="1"/>
        <s v="3Q26 WK 01" u="1"/>
        <s v="3Q26 WK 02" u="1"/>
        <s v="3Q26 WK 03" u="1"/>
        <s v="3Q26 WK 04" u="1"/>
        <s v="3Q26 WK 05" u="1"/>
        <s v="3Q26 WK 06" u="1"/>
        <s v="2026 3Q WK 01" u="1"/>
        <s v="2026 3Q WK 02" u="1"/>
        <s v="2026 3Q WK 03" u="1"/>
        <s v="2026 3Q WK 04" u="1"/>
        <s v="2026 3Q WK 05" u="1"/>
        <s v="2026 3Q WK 06" u="1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41.442219097225" createdVersion="8" refreshedVersion="8" minRefreshableVersion="3" recordCount="3" xr:uid="{D3FE744F-E4CE-144D-9062-754059CD7E0E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42" maxValue="159"/>
    </cacheField>
    <cacheField name="Wk 02" numFmtId="0">
      <sharedItems containsSemiMixedTypes="0" containsString="0" containsNumber="1" containsInteger="1" minValue="148" maxValue="161"/>
    </cacheField>
    <cacheField name="Wk 03" numFmtId="0">
      <sharedItems containsSemiMixedTypes="0" containsString="0" containsNumber="1" containsInteger="1" minValue="133" maxValue="161"/>
    </cacheField>
    <cacheField name="Wk 04" numFmtId="0">
      <sharedItems containsSemiMixedTypes="0" containsString="0" containsNumber="1" containsInteger="1" minValue="138" maxValue="168"/>
    </cacheField>
    <cacheField name="Wk 05" numFmtId="0">
      <sharedItems containsSemiMixedTypes="0" containsString="0" containsNumber="1" containsInteger="1" minValue="121" maxValue="166"/>
    </cacheField>
    <cacheField name="Wk 06" numFmtId="0">
      <sharedItems containsSemiMixedTypes="0" containsString="0" containsNumber="1" containsInteger="1" minValue="136" maxValue="180"/>
    </cacheField>
    <cacheField name="Wk 07" numFmtId="0">
      <sharedItems containsSemiMixedTypes="0" containsString="0" containsNumber="1" containsInteger="1" minValue="119" maxValue="181"/>
    </cacheField>
    <cacheField name="Wk 08" numFmtId="0">
      <sharedItems containsSemiMixedTypes="0" containsString="0" containsNumber="1" containsInteger="1" minValue="114" maxValue="180"/>
    </cacheField>
    <cacheField name="Wk 09" numFmtId="0">
      <sharedItems containsSemiMixedTypes="0" containsString="0" containsNumber="1" containsInteger="1" minValue="104" maxValue="178"/>
    </cacheField>
    <cacheField name="Wk 10" numFmtId="0">
      <sharedItems containsSemiMixedTypes="0" containsString="0" containsNumber="1" containsInteger="1" minValue="112" maxValue="212"/>
    </cacheField>
    <cacheField name="Wk 11" numFmtId="0">
      <sharedItems containsSemiMixedTypes="0" containsString="0" containsNumber="1" containsInteger="1" minValue="98" maxValue="222"/>
    </cacheField>
    <cacheField name="Wk 12" numFmtId="0">
      <sharedItems containsSemiMixedTypes="0" containsString="0" containsNumber="1" containsInteger="1" minValue="95" maxValue="222"/>
    </cacheField>
    <cacheField name="Wk 13" numFmtId="0">
      <sharedItems containsSemiMixedTypes="0" containsString="0" containsNumber="1" containsInteger="1" minValue="89" maxValue="2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42"/>
    <n v="157"/>
    <n v="161"/>
    <n v="168"/>
    <n v="166"/>
    <n v="180"/>
    <n v="181"/>
    <n v="180"/>
    <n v="178"/>
    <n v="212"/>
    <n v="222"/>
    <n v="222"/>
    <n v="218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C7B274-FD7A-844F-964F-72EF841A0267}" name="PivotTable12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07" firstHeaderRow="1" firstDataRow="1" firstDataCol="1"/>
  <pivotFields count="2">
    <pivotField axis="axisRow" showAll="0">
      <items count="1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95"/>
        <item m="1" x="96"/>
        <item m="1" x="97"/>
        <item m="1" x="98"/>
        <item m="1" x="99"/>
        <item m="1" x="100"/>
        <item m="1" x="89"/>
        <item m="1" x="90"/>
        <item m="1" x="91"/>
        <item m="1" x="92"/>
        <item m="1" x="93"/>
        <item m="1" x="94"/>
        <item m="1" x="83"/>
        <item m="1" x="84"/>
        <item m="1" x="85"/>
        <item m="1" x="86"/>
        <item m="1" x="87"/>
        <item m="1" x="88"/>
        <item x="77"/>
        <item x="78"/>
        <item x="79"/>
        <item x="80"/>
        <item x="81"/>
        <item x="82"/>
        <item t="default"/>
      </items>
    </pivotField>
    <pivotField dataField="1" showAll="0"/>
  </pivotFields>
  <rowFields count="1">
    <field x="0"/>
  </rowFields>
  <rowItems count="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CFBA1-C6D5-3C43-8822-30BD597F8EAC}" name="PivotTable2" cacheId="442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3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">
      <pivotArea outline="0" collapsedLevelsAreSubtotals="1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chartFormats count="8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2704-513B-D944-83AA-0507804C032D}">
  <dimension ref="A1:N25"/>
  <sheetViews>
    <sheetView showGridLines="0" tabSelected="1" zoomScale="110" zoomScaleNormal="110" workbookViewId="0">
      <selection activeCell="G9" sqref="G9"/>
    </sheetView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2">
      <c r="A2" s="9" t="s">
        <v>14</v>
      </c>
      <c r="B2" s="12">
        <v>54</v>
      </c>
      <c r="C2" s="12">
        <v>44</v>
      </c>
      <c r="D2" s="12">
        <v>42</v>
      </c>
      <c r="E2" s="12">
        <v>42</v>
      </c>
      <c r="F2" s="12">
        <v>40</v>
      </c>
      <c r="G2" s="12">
        <v>40</v>
      </c>
      <c r="H2" s="8">
        <v>38</v>
      </c>
      <c r="I2" s="8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 x14ac:dyDescent="0.2">
      <c r="A3" s="9" t="s">
        <v>15</v>
      </c>
      <c r="B3" s="12">
        <v>4</v>
      </c>
      <c r="C3" s="12">
        <v>4</v>
      </c>
      <c r="D3" s="12">
        <v>4</v>
      </c>
      <c r="E3" s="12">
        <v>3</v>
      </c>
      <c r="F3" s="12">
        <v>3</v>
      </c>
      <c r="G3" s="12">
        <v>3</v>
      </c>
      <c r="H3" s="11">
        <v>3</v>
      </c>
      <c r="I3" s="11">
        <v>3</v>
      </c>
      <c r="J3" s="11">
        <v>4</v>
      </c>
      <c r="K3" s="11">
        <v>5</v>
      </c>
      <c r="L3" s="11">
        <v>5</v>
      </c>
      <c r="M3" s="11">
        <v>5</v>
      </c>
      <c r="N3" s="11">
        <v>5</v>
      </c>
    </row>
    <row r="4" spans="1:14" x14ac:dyDescent="0.2">
      <c r="A4" s="9" t="s">
        <v>16</v>
      </c>
      <c r="B4" s="12">
        <v>11</v>
      </c>
      <c r="C4" s="12">
        <v>19</v>
      </c>
      <c r="D4" s="12">
        <v>20</v>
      </c>
      <c r="E4" s="12">
        <v>23</v>
      </c>
      <c r="F4" s="12">
        <v>25</v>
      </c>
      <c r="G4" s="12">
        <v>25</v>
      </c>
      <c r="H4" s="8">
        <v>27</v>
      </c>
      <c r="I4" s="8">
        <v>28</v>
      </c>
      <c r="J4" s="8">
        <v>29</v>
      </c>
      <c r="K4" s="8">
        <v>33</v>
      </c>
      <c r="L4" s="8">
        <v>33</v>
      </c>
      <c r="M4" s="8">
        <v>33</v>
      </c>
      <c r="N4" s="8">
        <v>33</v>
      </c>
    </row>
    <row r="5" spans="1:14" x14ac:dyDescent="0.2">
      <c r="A5" s="9" t="s">
        <v>17</v>
      </c>
      <c r="B5" s="12">
        <v>25</v>
      </c>
      <c r="C5" s="12">
        <v>36</v>
      </c>
      <c r="D5" s="12">
        <v>37</v>
      </c>
      <c r="E5" s="12">
        <v>39</v>
      </c>
      <c r="F5" s="12">
        <v>39</v>
      </c>
      <c r="G5" s="12">
        <v>51</v>
      </c>
      <c r="H5" s="11">
        <v>51</v>
      </c>
      <c r="I5" s="11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 x14ac:dyDescent="0.2">
      <c r="A6" s="9" t="s">
        <v>18</v>
      </c>
      <c r="B6" s="12">
        <v>12</v>
      </c>
      <c r="C6" s="12">
        <v>16</v>
      </c>
      <c r="D6" s="12">
        <v>16</v>
      </c>
      <c r="E6" s="12">
        <v>17</v>
      </c>
      <c r="F6" s="12">
        <v>17</v>
      </c>
      <c r="G6" s="12">
        <v>18</v>
      </c>
      <c r="H6" s="8">
        <v>17</v>
      </c>
      <c r="I6" s="8">
        <v>16</v>
      </c>
      <c r="J6" s="8">
        <v>16</v>
      </c>
      <c r="K6" s="8">
        <v>17</v>
      </c>
      <c r="L6" s="8">
        <v>17</v>
      </c>
      <c r="M6" s="8">
        <v>17</v>
      </c>
      <c r="N6" s="8">
        <v>17</v>
      </c>
    </row>
    <row r="7" spans="1:14" x14ac:dyDescent="0.2">
      <c r="A7" s="9" t="s">
        <v>19</v>
      </c>
      <c r="B7" s="12">
        <v>12</v>
      </c>
      <c r="C7" s="12">
        <v>14</v>
      </c>
      <c r="D7" s="12">
        <v>14</v>
      </c>
      <c r="E7" s="12">
        <v>13</v>
      </c>
      <c r="F7" s="12">
        <v>13</v>
      </c>
      <c r="G7" s="12">
        <v>10</v>
      </c>
      <c r="H7" s="11">
        <v>12</v>
      </c>
      <c r="I7" s="11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 x14ac:dyDescent="0.2">
      <c r="A8" s="9" t="s">
        <v>20</v>
      </c>
      <c r="B8" s="12">
        <v>24</v>
      </c>
      <c r="C8" s="12">
        <v>24</v>
      </c>
      <c r="D8" s="12">
        <v>28</v>
      </c>
      <c r="E8" s="12">
        <v>31</v>
      </c>
      <c r="F8" s="12">
        <v>29</v>
      </c>
      <c r="G8" s="12">
        <v>33</v>
      </c>
      <c r="H8" s="8">
        <v>33</v>
      </c>
      <c r="I8" s="8">
        <v>33</v>
      </c>
      <c r="J8" s="8">
        <v>33</v>
      </c>
      <c r="K8" s="8">
        <v>36</v>
      </c>
      <c r="L8" s="8">
        <v>36</v>
      </c>
      <c r="M8" s="8">
        <v>38</v>
      </c>
      <c r="N8" s="8">
        <v>38</v>
      </c>
    </row>
    <row r="9" spans="1:14" x14ac:dyDescent="0.2">
      <c r="A9" s="2" t="s">
        <v>21</v>
      </c>
      <c r="B9" s="6">
        <f>SUM(B2:B8)</f>
        <v>142</v>
      </c>
      <c r="C9" s="6">
        <f t="shared" ref="C9:N9" si="0">SUM(C2:C8)</f>
        <v>157</v>
      </c>
      <c r="D9" s="6">
        <f t="shared" si="0"/>
        <v>161</v>
      </c>
      <c r="E9" s="6">
        <f t="shared" si="0"/>
        <v>168</v>
      </c>
      <c r="F9" s="6">
        <f t="shared" si="0"/>
        <v>166</v>
      </c>
      <c r="G9" s="6">
        <f t="shared" si="0"/>
        <v>180</v>
      </c>
      <c r="H9" s="6">
        <f t="shared" si="0"/>
        <v>181</v>
      </c>
      <c r="I9" s="6">
        <f t="shared" si="0"/>
        <v>180</v>
      </c>
      <c r="J9" s="6">
        <f t="shared" si="0"/>
        <v>178</v>
      </c>
      <c r="K9" s="6">
        <f t="shared" si="0"/>
        <v>212</v>
      </c>
      <c r="L9" s="6">
        <f t="shared" si="0"/>
        <v>222</v>
      </c>
      <c r="M9" s="6">
        <f t="shared" si="0"/>
        <v>222</v>
      </c>
      <c r="N9" s="6">
        <f t="shared" si="0"/>
        <v>218</v>
      </c>
    </row>
    <row r="10" spans="1:14" x14ac:dyDescent="0.2">
      <c r="A10" s="2" t="s">
        <v>22</v>
      </c>
      <c r="B10" s="7">
        <f>+B9/$B$11</f>
        <v>7.0541480377545956E-2</v>
      </c>
      <c r="C10" s="7">
        <f t="shared" ref="C10:N10" si="1">+C9/$B$11</f>
        <v>7.7993045206159961E-2</v>
      </c>
      <c r="D10" s="7">
        <f t="shared" si="1"/>
        <v>7.9980129160457034E-2</v>
      </c>
      <c r="E10" s="7">
        <f t="shared" si="1"/>
        <v>8.3457526080476907E-2</v>
      </c>
      <c r="F10" s="7">
        <f t="shared" si="1"/>
        <v>8.2463984103328364E-2</v>
      </c>
      <c r="G10" s="7">
        <f t="shared" si="1"/>
        <v>8.9418777943368111E-2</v>
      </c>
      <c r="H10" s="7">
        <f t="shared" si="1"/>
        <v>8.9915548931942368E-2</v>
      </c>
      <c r="I10" s="7">
        <f t="shared" si="1"/>
        <v>8.9418777943368111E-2</v>
      </c>
      <c r="J10" s="7">
        <f t="shared" si="1"/>
        <v>8.8425235966219567E-2</v>
      </c>
      <c r="K10" s="7">
        <f t="shared" si="1"/>
        <v>0.10531544957774466</v>
      </c>
      <c r="L10" s="7">
        <f t="shared" si="1"/>
        <v>0.11028315946348734</v>
      </c>
      <c r="M10" s="7">
        <f t="shared" si="1"/>
        <v>0.11028315946348734</v>
      </c>
      <c r="N10" s="7">
        <f t="shared" si="1"/>
        <v>0.10829607550919026</v>
      </c>
    </row>
    <row r="11" spans="1:14" x14ac:dyDescent="0.2">
      <c r="A11" s="3" t="s">
        <v>23</v>
      </c>
      <c r="B11" s="4">
        <v>2013</v>
      </c>
      <c r="C11" s="10"/>
    </row>
    <row r="14" spans="1:14" x14ac:dyDescent="0.2">
      <c r="N14"/>
    </row>
    <row r="15" spans="1:14" x14ac:dyDescent="0.2">
      <c r="N15"/>
    </row>
    <row r="16" spans="1:14" x14ac:dyDescent="0.2">
      <c r="N16">
        <v>136</v>
      </c>
    </row>
    <row r="17" spans="14:14" x14ac:dyDescent="0.2">
      <c r="N17">
        <v>180</v>
      </c>
    </row>
    <row r="18" spans="14:14" x14ac:dyDescent="0.2">
      <c r="N18">
        <f>+N17-N16</f>
        <v>44</v>
      </c>
    </row>
    <row r="19" spans="14:14" x14ac:dyDescent="0.2">
      <c r="N19"/>
    </row>
    <row r="20" spans="14:14" x14ac:dyDescent="0.2">
      <c r="N20"/>
    </row>
    <row r="21" spans="14:14" x14ac:dyDescent="0.2">
      <c r="N21"/>
    </row>
    <row r="22" spans="14:14" x14ac:dyDescent="0.2">
      <c r="N22"/>
    </row>
    <row r="23" spans="14:14" x14ac:dyDescent="0.2">
      <c r="N23"/>
    </row>
    <row r="24" spans="14:14" x14ac:dyDescent="0.2">
      <c r="N24"/>
    </row>
    <row r="25" spans="14:14" x14ac:dyDescent="0.2">
      <c r="N25"/>
    </row>
  </sheetData>
  <autoFilter ref="A1:N11" xr:uid="{EC0E2704-513B-D944-83AA-0507804C032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99676-AB11-A54D-A3E4-E1A2A649D0A0}">
  <dimension ref="A1:R107"/>
  <sheetViews>
    <sheetView topLeftCell="A119" zoomScale="134" zoomScaleNormal="72" workbookViewId="0">
      <selection activeCell="AA122" sqref="AA122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" bestFit="1" customWidth="1"/>
    <col min="18" max="18" width="13.33203125" bestFit="1" customWidth="1"/>
  </cols>
  <sheetData>
    <row r="1" spans="1:15" ht="32" x14ac:dyDescent="0.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 x14ac:dyDescent="0.2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>SUM(D2:J2)</f>
        <v>268</v>
      </c>
      <c r="L2" t="str">
        <f>+B2&amp;" "&amp;C2</f>
        <v>1Q WK 01</v>
      </c>
      <c r="N2" t="s">
        <v>29</v>
      </c>
      <c r="O2" t="s">
        <v>28</v>
      </c>
    </row>
    <row r="3" spans="1:15" x14ac:dyDescent="0.2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ref="K3:K14" si="0">SUM(D3:J3)</f>
        <v>290</v>
      </c>
      <c r="L3" t="str">
        <f t="shared" ref="L3:L69" si="1">+B3&amp;" "&amp;C3</f>
        <v>1Q WK 02</v>
      </c>
      <c r="N3" t="s">
        <v>33</v>
      </c>
      <c r="O3">
        <v>268</v>
      </c>
    </row>
    <row r="4" spans="1:15" x14ac:dyDescent="0.2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>SUM(D15:J15)</f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ref="K16:K29" si="2">SUM(D16:J16)</f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2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2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2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2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2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2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2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 x14ac:dyDescent="0.2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2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>
        <v>268</v>
      </c>
    </row>
    <row r="25" spans="1:18" x14ac:dyDescent="0.2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2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>
        <v>290</v>
      </c>
    </row>
    <row r="26" spans="1:18" x14ac:dyDescent="0.2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2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>
        <v>227</v>
      </c>
    </row>
    <row r="27" spans="1:18" x14ac:dyDescent="0.2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2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>
        <v>228</v>
      </c>
    </row>
    <row r="28" spans="1:18" x14ac:dyDescent="0.2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2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>
        <v>214</v>
      </c>
    </row>
    <row r="29" spans="1:18" x14ac:dyDescent="0.2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2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>
        <v>225</v>
      </c>
    </row>
    <row r="30" spans="1:18" x14ac:dyDescent="0.2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>SUM(D30:J30)</f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>
        <v>207</v>
      </c>
    </row>
    <row r="31" spans="1:18" x14ac:dyDescent="0.2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>SUM(D31:J31)</f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>
        <v>200</v>
      </c>
    </row>
    <row r="32" spans="1:18" x14ac:dyDescent="0.2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>SUM(D32:J32)</f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>
        <v>189</v>
      </c>
    </row>
    <row r="33" spans="1:18" x14ac:dyDescent="0.2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>
        <v>180</v>
      </c>
    </row>
    <row r="34" spans="1:18" x14ac:dyDescent="0.2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si="1"/>
        <v>3Q WK 07</v>
      </c>
      <c r="N34" t="s">
        <v>79</v>
      </c>
      <c r="O34">
        <v>156</v>
      </c>
      <c r="Q34" s="17" t="s">
        <v>53</v>
      </c>
      <c r="R34">
        <v>167</v>
      </c>
    </row>
    <row r="35" spans="1:18" x14ac:dyDescent="0.2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 t="shared" ref="K35" si="3">SUM(D35:J35)</f>
        <v>143</v>
      </c>
      <c r="L35" t="str">
        <f t="shared" si="1"/>
        <v>3Q WK 08</v>
      </c>
      <c r="N35" t="s">
        <v>80</v>
      </c>
      <c r="O35">
        <v>158</v>
      </c>
      <c r="Q35" s="17" t="s">
        <v>55</v>
      </c>
      <c r="R35">
        <v>154</v>
      </c>
    </row>
    <row r="36" spans="1:18" x14ac:dyDescent="0.2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1"/>
        <v>3Q WK 09</v>
      </c>
      <c r="N36" t="s">
        <v>81</v>
      </c>
      <c r="O36">
        <v>143</v>
      </c>
      <c r="Q36" s="17" t="s">
        <v>57</v>
      </c>
      <c r="R36">
        <v>148</v>
      </c>
    </row>
    <row r="37" spans="1:18" x14ac:dyDescent="0.2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1"/>
        <v>3Q WK 10</v>
      </c>
      <c r="N37" t="s">
        <v>82</v>
      </c>
      <c r="O37" s="18">
        <v>128</v>
      </c>
      <c r="Q37" s="17" t="s">
        <v>58</v>
      </c>
      <c r="R37">
        <v>169</v>
      </c>
    </row>
    <row r="38" spans="1:18" x14ac:dyDescent="0.2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1"/>
        <v>3Q WK 11</v>
      </c>
      <c r="N38" t="s">
        <v>83</v>
      </c>
      <c r="O38" s="18">
        <v>134</v>
      </c>
      <c r="Q38" s="17" t="s">
        <v>59</v>
      </c>
      <c r="R38">
        <v>142</v>
      </c>
    </row>
    <row r="39" spans="1:18" x14ac:dyDescent="0.2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1"/>
        <v>3Q WK 12</v>
      </c>
      <c r="N39" t="s">
        <v>84</v>
      </c>
      <c r="O39">
        <v>123</v>
      </c>
      <c r="Q39" s="17" t="s">
        <v>60</v>
      </c>
      <c r="R39">
        <v>169</v>
      </c>
    </row>
    <row r="40" spans="1:18" x14ac:dyDescent="0.2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1"/>
        <v>3Q WK 13</v>
      </c>
      <c r="N40" t="s">
        <v>85</v>
      </c>
      <c r="O40">
        <v>123</v>
      </c>
      <c r="Q40" s="17" t="s">
        <v>61</v>
      </c>
      <c r="R40">
        <v>155</v>
      </c>
    </row>
    <row r="41" spans="1:18" x14ac:dyDescent="0.2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>SUM(D41:J41)</f>
        <v>119</v>
      </c>
      <c r="L41" t="str">
        <f t="shared" si="1"/>
        <v>4Q WK 01</v>
      </c>
      <c r="N41" t="s">
        <v>87</v>
      </c>
      <c r="O41">
        <v>112</v>
      </c>
      <c r="Q41" s="17" t="s">
        <v>62</v>
      </c>
      <c r="R41">
        <v>164</v>
      </c>
    </row>
    <row r="42" spans="1:18" x14ac:dyDescent="0.2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ref="K42:K50" si="4">SUM(D42:J42)</f>
        <v>107</v>
      </c>
      <c r="L42" t="str">
        <f t="shared" si="1"/>
        <v>4Q WK 02</v>
      </c>
      <c r="N42" t="s">
        <v>88</v>
      </c>
      <c r="O42">
        <v>119</v>
      </c>
      <c r="Q42" s="17" t="s">
        <v>63</v>
      </c>
      <c r="R42">
        <v>136</v>
      </c>
    </row>
    <row r="43" spans="1:18" x14ac:dyDescent="0.2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4"/>
        <v>110</v>
      </c>
      <c r="L43" t="str">
        <f t="shared" si="1"/>
        <v>4Q WK 03</v>
      </c>
      <c r="N43" t="s">
        <v>89</v>
      </c>
      <c r="O43">
        <v>107</v>
      </c>
      <c r="Q43" s="17" t="s">
        <v>64</v>
      </c>
      <c r="R43">
        <v>147</v>
      </c>
    </row>
    <row r="44" spans="1:18" x14ac:dyDescent="0.2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4"/>
        <v>137</v>
      </c>
      <c r="L44" t="str">
        <f t="shared" si="1"/>
        <v>4Q WK 04</v>
      </c>
      <c r="N44" t="s">
        <v>90</v>
      </c>
      <c r="O44">
        <v>110</v>
      </c>
      <c r="Q44" s="17" t="s">
        <v>65</v>
      </c>
      <c r="R44">
        <v>146</v>
      </c>
    </row>
    <row r="45" spans="1:18" x14ac:dyDescent="0.2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4"/>
        <v>124</v>
      </c>
      <c r="L45" t="str">
        <f t="shared" si="1"/>
        <v>4Q WK 05</v>
      </c>
      <c r="N45" t="s">
        <v>91</v>
      </c>
      <c r="O45">
        <v>137</v>
      </c>
      <c r="Q45" s="17" t="s">
        <v>68</v>
      </c>
      <c r="R45">
        <v>148</v>
      </c>
    </row>
    <row r="46" spans="1:18" x14ac:dyDescent="0.2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4"/>
        <v>127</v>
      </c>
      <c r="L46" t="str">
        <f t="shared" si="1"/>
        <v>4Q WK 06</v>
      </c>
      <c r="N46" t="s">
        <v>92</v>
      </c>
      <c r="O46">
        <v>124</v>
      </c>
      <c r="Q46" s="17" t="s">
        <v>69</v>
      </c>
      <c r="R46">
        <v>161</v>
      </c>
    </row>
    <row r="47" spans="1:18" x14ac:dyDescent="0.2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4"/>
        <v>101</v>
      </c>
      <c r="L47" t="str">
        <f t="shared" si="1"/>
        <v>4Q WK 07</v>
      </c>
      <c r="N47" t="s">
        <v>93</v>
      </c>
      <c r="O47">
        <v>127</v>
      </c>
      <c r="Q47" s="17" t="s">
        <v>70</v>
      </c>
      <c r="R47">
        <v>159</v>
      </c>
    </row>
    <row r="48" spans="1:18" x14ac:dyDescent="0.2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4"/>
        <v>116</v>
      </c>
      <c r="L48" t="str">
        <f t="shared" si="1"/>
        <v>4Q WK 08</v>
      </c>
      <c r="N48" t="s">
        <v>94</v>
      </c>
      <c r="O48">
        <v>101</v>
      </c>
      <c r="Q48" s="17" t="s">
        <v>71</v>
      </c>
      <c r="R48">
        <v>133</v>
      </c>
    </row>
    <row r="49" spans="1:18" x14ac:dyDescent="0.2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4"/>
        <v>124</v>
      </c>
      <c r="L49" t="str">
        <f t="shared" si="1"/>
        <v>4Q WK 09</v>
      </c>
      <c r="N49" t="s">
        <v>95</v>
      </c>
      <c r="O49">
        <v>116</v>
      </c>
      <c r="Q49" s="17" t="s">
        <v>73</v>
      </c>
      <c r="R49">
        <v>148</v>
      </c>
    </row>
    <row r="50" spans="1:18" x14ac:dyDescent="0.2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4"/>
        <v>134</v>
      </c>
      <c r="L50" t="str">
        <f t="shared" si="1"/>
        <v>4Q WK 10</v>
      </c>
      <c r="N50" t="s">
        <v>96</v>
      </c>
      <c r="O50">
        <v>124</v>
      </c>
      <c r="Q50" s="17" t="s">
        <v>74</v>
      </c>
      <c r="R50">
        <v>181</v>
      </c>
    </row>
    <row r="51" spans="1:18" x14ac:dyDescent="0.2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>SUM(D51:J51)</f>
        <v>113</v>
      </c>
      <c r="L51" t="str">
        <f t="shared" si="1"/>
        <v>4Q WK 11</v>
      </c>
      <c r="N51" t="s">
        <v>97</v>
      </c>
      <c r="O51">
        <v>134</v>
      </c>
      <c r="Q51" s="17" t="s">
        <v>75</v>
      </c>
      <c r="R51">
        <v>177</v>
      </c>
    </row>
    <row r="52" spans="1:18" x14ac:dyDescent="0.2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>SUM(D52:J52)</f>
        <v>118</v>
      </c>
      <c r="L52" t="str">
        <f t="shared" si="1"/>
        <v>4Q WK 12</v>
      </c>
      <c r="N52" t="s">
        <v>98</v>
      </c>
      <c r="O52">
        <v>113</v>
      </c>
      <c r="Q52" s="17" t="s">
        <v>76</v>
      </c>
      <c r="R52">
        <v>165</v>
      </c>
    </row>
    <row r="53" spans="1:18" x14ac:dyDescent="0.2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>SUM(D53:J53)</f>
        <v>127</v>
      </c>
      <c r="L53" t="str">
        <f t="shared" si="1"/>
        <v>4Q WK 13</v>
      </c>
      <c r="N53" t="s">
        <v>99</v>
      </c>
      <c r="O53">
        <v>118</v>
      </c>
      <c r="Q53" s="17" t="s">
        <v>77</v>
      </c>
      <c r="R53">
        <v>168</v>
      </c>
    </row>
    <row r="54" spans="1:18" x14ac:dyDescent="0.2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ref="K54:K57" si="5">SUM(D54:J54)</f>
        <v>231</v>
      </c>
      <c r="L54" t="str">
        <f t="shared" si="1"/>
        <v>1Q WK 01</v>
      </c>
      <c r="N54" t="s">
        <v>100</v>
      </c>
      <c r="O54">
        <v>127</v>
      </c>
      <c r="Q54" s="17" t="s">
        <v>78</v>
      </c>
      <c r="R54">
        <v>146</v>
      </c>
    </row>
    <row r="55" spans="1:18" x14ac:dyDescent="0.2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5"/>
        <v>201</v>
      </c>
      <c r="L55" t="str">
        <f t="shared" si="1"/>
        <v>1Q WK 02</v>
      </c>
      <c r="N55" t="s">
        <v>101</v>
      </c>
      <c r="O55">
        <v>231</v>
      </c>
      <c r="Q55" s="17" t="s">
        <v>79</v>
      </c>
      <c r="R55">
        <v>156</v>
      </c>
    </row>
    <row r="56" spans="1:18" x14ac:dyDescent="0.2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5"/>
        <v>180</v>
      </c>
      <c r="L56" t="str">
        <f t="shared" si="1"/>
        <v>1Q WK 03</v>
      </c>
      <c r="N56" t="s">
        <v>102</v>
      </c>
      <c r="O56">
        <v>201</v>
      </c>
      <c r="Q56" s="17" t="s">
        <v>80</v>
      </c>
      <c r="R56">
        <v>158</v>
      </c>
    </row>
    <row r="57" spans="1:18" x14ac:dyDescent="0.2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5"/>
        <v>171</v>
      </c>
      <c r="L57" t="str">
        <f t="shared" si="1"/>
        <v>1Q WK 04</v>
      </c>
      <c r="N57" t="s">
        <v>103</v>
      </c>
      <c r="O57">
        <v>180</v>
      </c>
      <c r="Q57" s="17" t="s">
        <v>81</v>
      </c>
      <c r="R57">
        <v>143</v>
      </c>
    </row>
    <row r="58" spans="1:18" x14ac:dyDescent="0.2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>SUM(D58:J58)</f>
        <v>148</v>
      </c>
      <c r="L58" t="str">
        <f t="shared" si="1"/>
        <v>1Q WK 05</v>
      </c>
      <c r="N58" t="s">
        <v>104</v>
      </c>
      <c r="O58">
        <v>171</v>
      </c>
      <c r="Q58" s="17" t="s">
        <v>82</v>
      </c>
      <c r="R58">
        <v>128</v>
      </c>
    </row>
    <row r="59" spans="1:18" x14ac:dyDescent="0.2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ref="K59:K65" si="6">SUM(D59:J59)</f>
        <v>143</v>
      </c>
      <c r="L59" t="str">
        <f t="shared" si="1"/>
        <v>1Q WK 06</v>
      </c>
      <c r="N59" t="s">
        <v>105</v>
      </c>
      <c r="O59">
        <v>148</v>
      </c>
      <c r="Q59" s="17" t="s">
        <v>83</v>
      </c>
      <c r="R59">
        <v>134</v>
      </c>
    </row>
    <row r="60" spans="1:18" x14ac:dyDescent="0.2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6"/>
        <v>114</v>
      </c>
      <c r="L60" t="str">
        <f t="shared" si="1"/>
        <v>1Q WK 07</v>
      </c>
      <c r="N60" t="s">
        <v>106</v>
      </c>
      <c r="O60">
        <v>143</v>
      </c>
      <c r="Q60" s="17" t="s">
        <v>84</v>
      </c>
      <c r="R60">
        <v>123</v>
      </c>
    </row>
    <row r="61" spans="1:18" x14ac:dyDescent="0.2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6"/>
        <v>110</v>
      </c>
      <c r="L61" t="str">
        <f t="shared" si="1"/>
        <v>1Q WK 08</v>
      </c>
      <c r="N61" t="s">
        <v>107</v>
      </c>
      <c r="O61">
        <v>114</v>
      </c>
      <c r="Q61" s="17" t="s">
        <v>85</v>
      </c>
      <c r="R61">
        <v>123</v>
      </c>
    </row>
    <row r="62" spans="1:18" x14ac:dyDescent="0.2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6"/>
        <v>97</v>
      </c>
      <c r="L62" t="str">
        <f t="shared" si="1"/>
        <v>1Q WK 09</v>
      </c>
      <c r="N62" t="s">
        <v>108</v>
      </c>
      <c r="O62">
        <v>110</v>
      </c>
      <c r="Q62" s="17" t="s">
        <v>87</v>
      </c>
      <c r="R62">
        <v>112</v>
      </c>
    </row>
    <row r="63" spans="1:18" x14ac:dyDescent="0.2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6"/>
        <v>101</v>
      </c>
      <c r="L63" t="str">
        <f t="shared" si="1"/>
        <v>1Q WK 10</v>
      </c>
      <c r="N63" t="s">
        <v>109</v>
      </c>
      <c r="O63">
        <v>97</v>
      </c>
      <c r="Q63" s="17" t="s">
        <v>88</v>
      </c>
      <c r="R63">
        <v>119</v>
      </c>
    </row>
    <row r="64" spans="1:18" x14ac:dyDescent="0.2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6"/>
        <v>78</v>
      </c>
      <c r="L64" t="str">
        <f t="shared" si="1"/>
        <v>1Q WK 11</v>
      </c>
      <c r="N64" t="s">
        <v>110</v>
      </c>
      <c r="O64">
        <v>101</v>
      </c>
      <c r="Q64" s="17" t="s">
        <v>89</v>
      </c>
      <c r="R64">
        <v>107</v>
      </c>
    </row>
    <row r="65" spans="1:18" x14ac:dyDescent="0.2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6"/>
        <v>73</v>
      </c>
      <c r="L65" t="str">
        <f t="shared" si="1"/>
        <v>1Q WK 12</v>
      </c>
      <c r="N65" t="s">
        <v>111</v>
      </c>
      <c r="O65">
        <v>78</v>
      </c>
      <c r="Q65" s="17" t="s">
        <v>90</v>
      </c>
      <c r="R65">
        <v>110</v>
      </c>
    </row>
    <row r="66" spans="1:18" x14ac:dyDescent="0.2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si="1"/>
        <v>2Q WK 01</v>
      </c>
      <c r="N66" t="s">
        <v>112</v>
      </c>
      <c r="O66">
        <v>73</v>
      </c>
      <c r="Q66" s="17" t="s">
        <v>91</v>
      </c>
      <c r="R66">
        <v>137</v>
      </c>
    </row>
    <row r="67" spans="1:18" x14ac:dyDescent="0.2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1"/>
        <v>2Q WK 02</v>
      </c>
      <c r="N67" t="s">
        <v>113</v>
      </c>
      <c r="O67">
        <v>121</v>
      </c>
      <c r="Q67" s="17" t="s">
        <v>92</v>
      </c>
      <c r="R67">
        <v>124</v>
      </c>
    </row>
    <row r="68" spans="1:18" x14ac:dyDescent="0.2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1"/>
        <v>2Q WK 03</v>
      </c>
      <c r="N68" t="s">
        <v>114</v>
      </c>
      <c r="O68">
        <v>117</v>
      </c>
      <c r="Q68" s="17" t="s">
        <v>93</v>
      </c>
      <c r="R68">
        <v>127</v>
      </c>
    </row>
    <row r="69" spans="1:18" x14ac:dyDescent="0.2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1"/>
        <v>2Q WK 04</v>
      </c>
      <c r="N69" t="s">
        <v>115</v>
      </c>
      <c r="O69">
        <v>114</v>
      </c>
      <c r="Q69" s="17" t="s">
        <v>94</v>
      </c>
      <c r="R69">
        <v>101</v>
      </c>
    </row>
    <row r="70" spans="1:18" x14ac:dyDescent="0.2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7">SUM(D70:J70)</f>
        <v>114</v>
      </c>
      <c r="L70" t="str">
        <f t="shared" ref="L70:L78" si="8">+B70&amp;" "&amp;C70</f>
        <v>2Q WK 05</v>
      </c>
      <c r="N70" t="s">
        <v>116</v>
      </c>
      <c r="O70">
        <v>114</v>
      </c>
      <c r="Q70" s="17" t="s">
        <v>95</v>
      </c>
      <c r="R70">
        <v>116</v>
      </c>
    </row>
    <row r="71" spans="1:18" x14ac:dyDescent="0.2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7"/>
        <v>137</v>
      </c>
      <c r="L71" t="str">
        <f t="shared" si="8"/>
        <v>2Q WK 06</v>
      </c>
      <c r="N71" t="s">
        <v>117</v>
      </c>
      <c r="O71">
        <v>114</v>
      </c>
      <c r="Q71" s="17" t="s">
        <v>96</v>
      </c>
      <c r="R71">
        <v>124</v>
      </c>
    </row>
    <row r="72" spans="1:18" x14ac:dyDescent="0.2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7"/>
        <v>126</v>
      </c>
      <c r="L72" t="str">
        <f t="shared" si="8"/>
        <v>2Q WK 07</v>
      </c>
      <c r="N72" t="s">
        <v>118</v>
      </c>
      <c r="O72">
        <v>137</v>
      </c>
      <c r="Q72" s="17" t="s">
        <v>97</v>
      </c>
      <c r="R72">
        <v>134</v>
      </c>
    </row>
    <row r="73" spans="1:18" ht="17" thickBot="1" x14ac:dyDescent="0.25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7"/>
        <v>151</v>
      </c>
      <c r="L73" t="str">
        <f t="shared" si="8"/>
        <v>2Q WK 08</v>
      </c>
      <c r="N73" t="s">
        <v>119</v>
      </c>
      <c r="O73">
        <v>126</v>
      </c>
      <c r="Q73" s="17" t="s">
        <v>98</v>
      </c>
      <c r="R73">
        <v>113</v>
      </c>
    </row>
    <row r="74" spans="1:18" ht="18" thickTop="1" thickBot="1" x14ac:dyDescent="0.25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7"/>
        <v>125</v>
      </c>
      <c r="L74" t="str">
        <f t="shared" si="8"/>
        <v>2Q WK 09</v>
      </c>
      <c r="N74" t="s">
        <v>120</v>
      </c>
      <c r="O74">
        <v>151</v>
      </c>
      <c r="Q74" s="17" t="s">
        <v>99</v>
      </c>
      <c r="R74">
        <v>118</v>
      </c>
    </row>
    <row r="75" spans="1:18" ht="18" thickTop="1" thickBot="1" x14ac:dyDescent="0.25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7"/>
        <v>137</v>
      </c>
      <c r="L75" t="str">
        <f t="shared" si="8"/>
        <v>2Q WK 10</v>
      </c>
      <c r="N75" t="s">
        <v>121</v>
      </c>
      <c r="O75">
        <v>125</v>
      </c>
      <c r="Q75" s="17" t="s">
        <v>100</v>
      </c>
      <c r="R75">
        <v>127</v>
      </c>
    </row>
    <row r="76" spans="1:18" x14ac:dyDescent="0.2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7"/>
        <v>145</v>
      </c>
      <c r="L76" t="str">
        <f t="shared" si="8"/>
        <v>2Q WK 11</v>
      </c>
      <c r="N76" t="s">
        <v>122</v>
      </c>
      <c r="O76">
        <v>116</v>
      </c>
      <c r="Q76" s="17" t="s">
        <v>101</v>
      </c>
      <c r="R76">
        <v>231</v>
      </c>
    </row>
    <row r="77" spans="1:18" x14ac:dyDescent="0.2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7"/>
        <v>148</v>
      </c>
      <c r="L77" t="str">
        <f t="shared" si="8"/>
        <v>2Q WK 12</v>
      </c>
      <c r="N77" t="s">
        <v>123</v>
      </c>
      <c r="O77">
        <v>145</v>
      </c>
      <c r="Q77" s="17" t="s">
        <v>102</v>
      </c>
      <c r="R77">
        <v>201</v>
      </c>
    </row>
    <row r="78" spans="1:18" x14ac:dyDescent="0.2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8"/>
        <v>2Q WK 13</v>
      </c>
      <c r="N78" t="s">
        <v>124</v>
      </c>
      <c r="O78">
        <v>148</v>
      </c>
      <c r="Q78" s="17" t="s">
        <v>103</v>
      </c>
      <c r="R78">
        <v>180</v>
      </c>
    </row>
    <row r="79" spans="1:18" x14ac:dyDescent="0.2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>SUM(D79:J79)</f>
        <v>176</v>
      </c>
      <c r="L79" t="str">
        <f t="shared" ref="L79:L84" si="9">+B79&amp;" "&amp;C79</f>
        <v>3Q WK 01</v>
      </c>
      <c r="N79" t="s">
        <v>125</v>
      </c>
      <c r="O79">
        <v>152</v>
      </c>
      <c r="Q79" s="17" t="s">
        <v>104</v>
      </c>
      <c r="R79">
        <v>171</v>
      </c>
    </row>
    <row r="80" spans="1:18" x14ac:dyDescent="0.2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ref="K80:K84" si="10">SUM(D80:J80)</f>
        <v>165</v>
      </c>
      <c r="L80" t="str">
        <f t="shared" si="9"/>
        <v>3Q WK 02</v>
      </c>
      <c r="N80" t="s">
        <v>126</v>
      </c>
      <c r="O80">
        <v>176</v>
      </c>
      <c r="Q80" s="17" t="s">
        <v>105</v>
      </c>
      <c r="R80">
        <v>148</v>
      </c>
    </row>
    <row r="81" spans="1:18" x14ac:dyDescent="0.2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10"/>
        <v>160</v>
      </c>
      <c r="L81" t="str">
        <f t="shared" si="9"/>
        <v>3Q WK 03</v>
      </c>
      <c r="N81" t="s">
        <v>164</v>
      </c>
      <c r="O81">
        <v>165</v>
      </c>
      <c r="Q81" s="17" t="s">
        <v>106</v>
      </c>
      <c r="R81">
        <v>143</v>
      </c>
    </row>
    <row r="82" spans="1:18" x14ac:dyDescent="0.2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10"/>
        <v>138</v>
      </c>
      <c r="L82" t="str">
        <f t="shared" si="9"/>
        <v>3Q WK 04</v>
      </c>
      <c r="N82" t="s">
        <v>165</v>
      </c>
      <c r="O82">
        <v>160</v>
      </c>
      <c r="Q82" s="17" t="s">
        <v>107</v>
      </c>
      <c r="R82">
        <v>114</v>
      </c>
    </row>
    <row r="83" spans="1:18" x14ac:dyDescent="0.2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10"/>
        <v>132</v>
      </c>
      <c r="L83" t="str">
        <f t="shared" si="9"/>
        <v>3Q WK 05</v>
      </c>
      <c r="N83" t="s">
        <v>166</v>
      </c>
      <c r="O83">
        <v>138</v>
      </c>
      <c r="Q83" s="17" t="s">
        <v>108</v>
      </c>
      <c r="R83">
        <v>110</v>
      </c>
    </row>
    <row r="84" spans="1:18" x14ac:dyDescent="0.2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10"/>
        <v>144</v>
      </c>
      <c r="L84" t="str">
        <f t="shared" si="9"/>
        <v>3Q WK 06</v>
      </c>
      <c r="N84" t="s">
        <v>167</v>
      </c>
      <c r="O84">
        <v>132</v>
      </c>
      <c r="Q84" s="17" t="s">
        <v>109</v>
      </c>
      <c r="R84">
        <v>97</v>
      </c>
    </row>
    <row r="85" spans="1:18" x14ac:dyDescent="0.2">
      <c r="N85" t="s">
        <v>168</v>
      </c>
      <c r="O85">
        <v>144</v>
      </c>
      <c r="Q85" s="17" t="s">
        <v>110</v>
      </c>
      <c r="R85">
        <v>101</v>
      </c>
    </row>
    <row r="86" spans="1:18" x14ac:dyDescent="0.2">
      <c r="Q86" s="17" t="s">
        <v>111</v>
      </c>
      <c r="R86">
        <v>78</v>
      </c>
    </row>
    <row r="87" spans="1:18" x14ac:dyDescent="0.2">
      <c r="Q87" s="17" t="s">
        <v>112</v>
      </c>
      <c r="R87">
        <v>73</v>
      </c>
    </row>
    <row r="88" spans="1:18" x14ac:dyDescent="0.2">
      <c r="Q88" s="17" t="s">
        <v>113</v>
      </c>
      <c r="R88">
        <v>121</v>
      </c>
    </row>
    <row r="89" spans="1:18" x14ac:dyDescent="0.2">
      <c r="Q89" s="17" t="s">
        <v>114</v>
      </c>
      <c r="R89">
        <v>117</v>
      </c>
    </row>
    <row r="90" spans="1:18" x14ac:dyDescent="0.2">
      <c r="Q90" s="17" t="s">
        <v>115</v>
      </c>
      <c r="R90">
        <v>114</v>
      </c>
    </row>
    <row r="91" spans="1:18" x14ac:dyDescent="0.2">
      <c r="Q91" s="17" t="s">
        <v>116</v>
      </c>
      <c r="R91">
        <v>114</v>
      </c>
    </row>
    <row r="92" spans="1:18" x14ac:dyDescent="0.2">
      <c r="Q92" s="17" t="s">
        <v>117</v>
      </c>
      <c r="R92">
        <v>114</v>
      </c>
    </row>
    <row r="93" spans="1:18" x14ac:dyDescent="0.2">
      <c r="Q93" s="17" t="s">
        <v>118</v>
      </c>
      <c r="R93">
        <v>137</v>
      </c>
    </row>
    <row r="94" spans="1:18" x14ac:dyDescent="0.2">
      <c r="Q94" s="17" t="s">
        <v>119</v>
      </c>
      <c r="R94">
        <v>126</v>
      </c>
    </row>
    <row r="95" spans="1:18" x14ac:dyDescent="0.2">
      <c r="Q95" s="17" t="s">
        <v>120</v>
      </c>
      <c r="R95">
        <v>151</v>
      </c>
    </row>
    <row r="96" spans="1:18" x14ac:dyDescent="0.2">
      <c r="Q96" s="17" t="s">
        <v>121</v>
      </c>
      <c r="R96">
        <v>125</v>
      </c>
    </row>
    <row r="97" spans="17:18" x14ac:dyDescent="0.2">
      <c r="Q97" s="17" t="s">
        <v>122</v>
      </c>
      <c r="R97">
        <v>116</v>
      </c>
    </row>
    <row r="98" spans="17:18" x14ac:dyDescent="0.2">
      <c r="Q98" s="17" t="s">
        <v>123</v>
      </c>
      <c r="R98">
        <v>145</v>
      </c>
    </row>
    <row r="99" spans="17:18" x14ac:dyDescent="0.2">
      <c r="Q99" s="17" t="s">
        <v>124</v>
      </c>
      <c r="R99">
        <v>148</v>
      </c>
    </row>
    <row r="100" spans="17:18" x14ac:dyDescent="0.2">
      <c r="Q100" s="17" t="s">
        <v>125</v>
      </c>
      <c r="R100">
        <v>152</v>
      </c>
    </row>
    <row r="101" spans="17:18" x14ac:dyDescent="0.2">
      <c r="Q101" s="17" t="s">
        <v>126</v>
      </c>
      <c r="R101">
        <v>176</v>
      </c>
    </row>
    <row r="102" spans="17:18" x14ac:dyDescent="0.2">
      <c r="Q102" s="17" t="s">
        <v>164</v>
      </c>
      <c r="R102">
        <v>165</v>
      </c>
    </row>
    <row r="103" spans="17:18" x14ac:dyDescent="0.2">
      <c r="Q103" s="17" t="s">
        <v>165</v>
      </c>
      <c r="R103">
        <v>160</v>
      </c>
    </row>
    <row r="104" spans="17:18" x14ac:dyDescent="0.2">
      <c r="Q104" s="17" t="s">
        <v>166</v>
      </c>
      <c r="R104">
        <v>138</v>
      </c>
    </row>
    <row r="105" spans="17:18" x14ac:dyDescent="0.2">
      <c r="Q105" s="17" t="s">
        <v>167</v>
      </c>
      <c r="R105">
        <v>132</v>
      </c>
    </row>
    <row r="106" spans="17:18" x14ac:dyDescent="0.2">
      <c r="Q106" s="17" t="s">
        <v>168</v>
      </c>
      <c r="R106">
        <v>144</v>
      </c>
    </row>
    <row r="107" spans="17:18" x14ac:dyDescent="0.2">
      <c r="Q107" s="17" t="s">
        <v>21</v>
      </c>
      <c r="R107">
        <v>12387</v>
      </c>
    </row>
  </sheetData>
  <autoFilter ref="A1:K32" xr:uid="{2A750E66-6642-A742-BD9E-E94D3BB792C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9C08D-E3AB-A84E-BFC7-CB4DF670EA2E}">
  <dimension ref="A1:AA50"/>
  <sheetViews>
    <sheetView topLeftCell="A21" workbookViewId="0">
      <selection activeCell="B40" sqref="B40"/>
    </sheetView>
  </sheetViews>
  <sheetFormatPr baseColWidth="10" defaultRowHeight="16" x14ac:dyDescent="0.2"/>
  <cols>
    <col min="1" max="1" width="6.6640625" bestFit="1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 x14ac:dyDescent="0.2">
      <c r="A1" s="21"/>
      <c r="B1" s="41" t="s">
        <v>127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x14ac:dyDescent="0.2">
      <c r="A2" s="43" t="s">
        <v>0</v>
      </c>
      <c r="B2" s="44" t="s">
        <v>128</v>
      </c>
      <c r="C2" s="45"/>
      <c r="D2" s="44" t="s">
        <v>129</v>
      </c>
      <c r="E2" s="45"/>
      <c r="F2" s="44" t="s">
        <v>130</v>
      </c>
      <c r="G2" s="45"/>
      <c r="H2" s="44" t="s">
        <v>131</v>
      </c>
      <c r="I2" s="45"/>
      <c r="J2" s="44" t="s">
        <v>132</v>
      </c>
      <c r="K2" s="45"/>
      <c r="L2" s="44" t="s">
        <v>133</v>
      </c>
      <c r="M2" s="45"/>
      <c r="N2" s="44" t="s">
        <v>134</v>
      </c>
      <c r="O2" s="45"/>
      <c r="P2" s="44" t="s">
        <v>135</v>
      </c>
      <c r="Q2" s="45"/>
      <c r="R2" s="44" t="s">
        <v>136</v>
      </c>
      <c r="S2" s="45"/>
      <c r="T2" s="44" t="s">
        <v>137</v>
      </c>
      <c r="U2" s="45"/>
      <c r="V2" s="44" t="s">
        <v>138</v>
      </c>
      <c r="W2" s="45"/>
      <c r="X2" s="44" t="s">
        <v>139</v>
      </c>
      <c r="Y2" s="45"/>
      <c r="Z2" s="44" t="s">
        <v>140</v>
      </c>
      <c r="AA2" s="45"/>
    </row>
    <row r="3" spans="1:27" x14ac:dyDescent="0.2">
      <c r="A3" s="43"/>
      <c r="B3" s="44" t="s">
        <v>141</v>
      </c>
      <c r="C3" s="45"/>
      <c r="D3" s="44" t="s">
        <v>141</v>
      </c>
      <c r="E3" s="45"/>
      <c r="F3" s="44" t="s">
        <v>141</v>
      </c>
      <c r="G3" s="45"/>
      <c r="H3" s="44" t="s">
        <v>141</v>
      </c>
      <c r="I3" s="45"/>
      <c r="J3" s="44" t="s">
        <v>141</v>
      </c>
      <c r="K3" s="45"/>
      <c r="L3" s="44" t="s">
        <v>141</v>
      </c>
      <c r="M3" s="45"/>
      <c r="N3" s="44" t="s">
        <v>141</v>
      </c>
      <c r="O3" s="45"/>
      <c r="P3" s="44" t="s">
        <v>141</v>
      </c>
      <c r="Q3" s="45"/>
      <c r="R3" s="44" t="s">
        <v>141</v>
      </c>
      <c r="S3" s="45"/>
      <c r="T3" s="44" t="s">
        <v>141</v>
      </c>
      <c r="U3" s="45"/>
      <c r="V3" s="44" t="s">
        <v>141</v>
      </c>
      <c r="W3" s="45"/>
      <c r="X3" s="44" t="s">
        <v>141</v>
      </c>
      <c r="Y3" s="45"/>
      <c r="Z3" s="44" t="s">
        <v>141</v>
      </c>
      <c r="AA3" s="45"/>
    </row>
    <row r="4" spans="1:27" x14ac:dyDescent="0.2">
      <c r="A4" s="43"/>
      <c r="B4" s="23" t="s">
        <v>142</v>
      </c>
      <c r="C4" s="23" t="s">
        <v>143</v>
      </c>
      <c r="D4" s="23" t="s">
        <v>142</v>
      </c>
      <c r="E4" s="23" t="s">
        <v>143</v>
      </c>
      <c r="F4" s="23" t="s">
        <v>142</v>
      </c>
      <c r="G4" s="23" t="s">
        <v>143</v>
      </c>
      <c r="H4" s="23" t="s">
        <v>142</v>
      </c>
      <c r="I4" s="23" t="s">
        <v>143</v>
      </c>
      <c r="J4" s="23" t="s">
        <v>142</v>
      </c>
      <c r="K4" s="23" t="s">
        <v>143</v>
      </c>
      <c r="L4" s="23" t="s">
        <v>142</v>
      </c>
      <c r="M4" s="23" t="s">
        <v>143</v>
      </c>
      <c r="N4" s="23" t="s">
        <v>142</v>
      </c>
      <c r="O4" s="23" t="s">
        <v>143</v>
      </c>
      <c r="P4" s="23" t="s">
        <v>142</v>
      </c>
      <c r="Q4" s="23" t="s">
        <v>143</v>
      </c>
      <c r="R4" s="23" t="s">
        <v>142</v>
      </c>
      <c r="S4" s="23" t="s">
        <v>143</v>
      </c>
      <c r="T4" s="23" t="s">
        <v>142</v>
      </c>
      <c r="U4" s="23" t="s">
        <v>143</v>
      </c>
      <c r="V4" s="23" t="s">
        <v>142</v>
      </c>
      <c r="W4" s="23" t="s">
        <v>143</v>
      </c>
      <c r="X4" s="23" t="s">
        <v>142</v>
      </c>
      <c r="Y4" s="23" t="s">
        <v>143</v>
      </c>
      <c r="Z4" s="23" t="s">
        <v>142</v>
      </c>
      <c r="AA4" s="23" t="s">
        <v>143</v>
      </c>
    </row>
    <row r="5" spans="1:27" x14ac:dyDescent="0.2">
      <c r="A5" s="21" t="s">
        <v>14</v>
      </c>
      <c r="B5" s="24">
        <v>57</v>
      </c>
      <c r="C5" s="24">
        <v>53</v>
      </c>
      <c r="D5" s="24">
        <v>53</v>
      </c>
      <c r="E5" s="24">
        <v>46</v>
      </c>
      <c r="F5" s="24">
        <v>55</v>
      </c>
      <c r="G5" s="24">
        <v>47</v>
      </c>
      <c r="H5" s="24">
        <v>56</v>
      </c>
      <c r="I5" s="24">
        <v>46</v>
      </c>
      <c r="J5" s="24">
        <v>49</v>
      </c>
      <c r="K5" s="24">
        <v>41</v>
      </c>
      <c r="L5" s="24">
        <v>47</v>
      </c>
      <c r="M5" s="24">
        <v>41</v>
      </c>
      <c r="N5" s="24">
        <v>45</v>
      </c>
      <c r="O5" s="24">
        <v>38</v>
      </c>
      <c r="P5" s="24">
        <v>45</v>
      </c>
      <c r="Q5" s="24">
        <v>40</v>
      </c>
      <c r="R5" s="24">
        <v>40</v>
      </c>
      <c r="S5" s="24">
        <v>37</v>
      </c>
      <c r="T5" s="24">
        <v>35</v>
      </c>
      <c r="U5" s="24">
        <v>30</v>
      </c>
      <c r="V5" s="24">
        <v>28</v>
      </c>
      <c r="W5" s="24">
        <v>27</v>
      </c>
      <c r="X5" s="24">
        <v>28</v>
      </c>
      <c r="Y5" s="24">
        <v>24</v>
      </c>
      <c r="Z5" s="24">
        <v>27</v>
      </c>
      <c r="AA5" s="24">
        <v>22</v>
      </c>
    </row>
    <row r="6" spans="1:27" x14ac:dyDescent="0.2">
      <c r="A6" s="21" t="s">
        <v>18</v>
      </c>
      <c r="B6" s="24">
        <v>36</v>
      </c>
      <c r="C6" s="24">
        <v>35</v>
      </c>
      <c r="D6" s="24">
        <v>34</v>
      </c>
      <c r="E6" s="24">
        <v>32</v>
      </c>
      <c r="F6" s="24">
        <v>31</v>
      </c>
      <c r="G6" s="24">
        <v>28</v>
      </c>
      <c r="H6" s="24">
        <v>34</v>
      </c>
      <c r="I6" s="24">
        <v>31</v>
      </c>
      <c r="J6" s="24">
        <v>34</v>
      </c>
      <c r="K6" s="24">
        <v>30</v>
      </c>
      <c r="L6" s="24">
        <v>39</v>
      </c>
      <c r="M6" s="24">
        <v>36</v>
      </c>
      <c r="N6" s="24">
        <v>40</v>
      </c>
      <c r="O6" s="24">
        <v>32</v>
      </c>
      <c r="P6" s="24">
        <v>40</v>
      </c>
      <c r="Q6" s="24">
        <v>28</v>
      </c>
      <c r="R6" s="24">
        <v>38</v>
      </c>
      <c r="S6" s="24">
        <v>28</v>
      </c>
      <c r="T6" s="24">
        <v>37</v>
      </c>
      <c r="U6" s="24">
        <v>34</v>
      </c>
      <c r="V6" s="24">
        <v>36</v>
      </c>
      <c r="W6" s="24">
        <v>33</v>
      </c>
      <c r="X6" s="24">
        <v>38</v>
      </c>
      <c r="Y6" s="24">
        <v>33</v>
      </c>
      <c r="Z6" s="24">
        <v>34</v>
      </c>
      <c r="AA6" s="24">
        <v>31</v>
      </c>
    </row>
    <row r="7" spans="1:27" x14ac:dyDescent="0.2">
      <c r="A7" s="21" t="s">
        <v>19</v>
      </c>
      <c r="B7" s="24">
        <v>24</v>
      </c>
      <c r="C7" s="24">
        <v>19</v>
      </c>
      <c r="D7" s="24">
        <v>23</v>
      </c>
      <c r="E7" s="24">
        <v>18</v>
      </c>
      <c r="F7" s="24">
        <v>17</v>
      </c>
      <c r="G7" s="24">
        <v>13</v>
      </c>
      <c r="H7" s="24">
        <v>15</v>
      </c>
      <c r="I7" s="24">
        <v>11</v>
      </c>
      <c r="J7" s="24">
        <v>14</v>
      </c>
      <c r="K7" s="24">
        <v>12</v>
      </c>
      <c r="L7" s="24">
        <v>15</v>
      </c>
      <c r="M7" s="24">
        <v>13</v>
      </c>
      <c r="N7" s="24">
        <v>12</v>
      </c>
      <c r="O7" s="24">
        <v>9</v>
      </c>
      <c r="P7" s="24">
        <v>11</v>
      </c>
      <c r="Q7" s="24">
        <v>9</v>
      </c>
      <c r="R7" s="24">
        <v>11</v>
      </c>
      <c r="S7" s="24">
        <v>9</v>
      </c>
      <c r="T7" s="24">
        <v>13</v>
      </c>
      <c r="U7" s="24">
        <v>11</v>
      </c>
      <c r="V7" s="24">
        <v>13</v>
      </c>
      <c r="W7" s="24">
        <v>10</v>
      </c>
      <c r="X7" s="24">
        <v>11</v>
      </c>
      <c r="Y7" s="24">
        <v>10</v>
      </c>
      <c r="Z7" s="24">
        <v>11</v>
      </c>
      <c r="AA7" s="24">
        <v>9</v>
      </c>
    </row>
    <row r="8" spans="1:27" x14ac:dyDescent="0.2">
      <c r="A8" s="21" t="s">
        <v>15</v>
      </c>
      <c r="B8" s="24">
        <v>13</v>
      </c>
      <c r="C8" s="24">
        <v>12</v>
      </c>
      <c r="D8" s="24">
        <v>14</v>
      </c>
      <c r="E8" s="24">
        <v>14</v>
      </c>
      <c r="F8" s="24">
        <v>15</v>
      </c>
      <c r="G8" s="24">
        <v>14</v>
      </c>
      <c r="H8" s="24">
        <v>16</v>
      </c>
      <c r="I8" s="24">
        <v>12</v>
      </c>
      <c r="J8" s="24">
        <v>16</v>
      </c>
      <c r="K8" s="24">
        <v>12</v>
      </c>
      <c r="L8" s="24">
        <v>17</v>
      </c>
      <c r="M8" s="24">
        <v>15</v>
      </c>
      <c r="N8" s="24">
        <v>18</v>
      </c>
      <c r="O8" s="24">
        <v>14</v>
      </c>
      <c r="P8" s="24">
        <v>16</v>
      </c>
      <c r="Q8" s="24">
        <v>12</v>
      </c>
      <c r="R8" s="24">
        <v>13</v>
      </c>
      <c r="S8" s="24">
        <v>11</v>
      </c>
      <c r="T8" s="24">
        <v>15</v>
      </c>
      <c r="U8" s="24">
        <v>13</v>
      </c>
      <c r="V8" s="24">
        <v>14</v>
      </c>
      <c r="W8" s="24">
        <v>10</v>
      </c>
      <c r="X8" s="24">
        <v>15</v>
      </c>
      <c r="Y8" s="24">
        <v>8</v>
      </c>
      <c r="Z8" s="24">
        <v>10</v>
      </c>
      <c r="AA8" s="24">
        <v>7</v>
      </c>
    </row>
    <row r="9" spans="1:27" x14ac:dyDescent="0.2">
      <c r="A9" s="21" t="s">
        <v>17</v>
      </c>
      <c r="B9" s="24">
        <v>18</v>
      </c>
      <c r="C9" s="24">
        <v>15</v>
      </c>
      <c r="D9" s="24">
        <v>19</v>
      </c>
      <c r="E9" s="24">
        <v>15</v>
      </c>
      <c r="F9" s="24">
        <v>19</v>
      </c>
      <c r="G9" s="24">
        <v>12</v>
      </c>
      <c r="H9" s="24">
        <v>19</v>
      </c>
      <c r="I9" s="24">
        <v>16</v>
      </c>
      <c r="J9" s="24">
        <v>15</v>
      </c>
      <c r="K9" s="24">
        <v>12</v>
      </c>
      <c r="L9" s="24">
        <v>14</v>
      </c>
      <c r="M9" s="24">
        <v>12</v>
      </c>
      <c r="N9" s="24">
        <v>16</v>
      </c>
      <c r="O9" s="24">
        <v>11</v>
      </c>
      <c r="P9" s="24">
        <v>11</v>
      </c>
      <c r="Q9" s="24">
        <v>8</v>
      </c>
      <c r="R9" s="24">
        <v>8</v>
      </c>
      <c r="S9" s="24">
        <v>7</v>
      </c>
      <c r="T9" s="24">
        <v>12</v>
      </c>
      <c r="U9" s="24">
        <v>7</v>
      </c>
      <c r="V9" s="24">
        <v>10</v>
      </c>
      <c r="W9" s="24">
        <v>5</v>
      </c>
      <c r="X9" s="24">
        <v>11</v>
      </c>
      <c r="Y9" s="24">
        <v>8</v>
      </c>
      <c r="Z9" s="24">
        <v>11</v>
      </c>
      <c r="AA9" s="24">
        <v>10</v>
      </c>
    </row>
    <row r="10" spans="1:27" x14ac:dyDescent="0.2">
      <c r="A10" s="21" t="s">
        <v>20</v>
      </c>
      <c r="B10" s="24">
        <v>20</v>
      </c>
      <c r="C10" s="24">
        <v>17</v>
      </c>
      <c r="D10" s="24">
        <v>21</v>
      </c>
      <c r="E10" s="24">
        <v>15</v>
      </c>
      <c r="F10" s="24">
        <v>17</v>
      </c>
      <c r="G10" s="24">
        <v>13</v>
      </c>
      <c r="H10" s="24">
        <v>17</v>
      </c>
      <c r="I10" s="24">
        <v>13</v>
      </c>
      <c r="J10" s="24">
        <v>12</v>
      </c>
      <c r="K10" s="24">
        <v>8</v>
      </c>
      <c r="L10" s="24">
        <v>18</v>
      </c>
      <c r="M10" s="24">
        <v>14</v>
      </c>
      <c r="N10" s="24">
        <v>17</v>
      </c>
      <c r="O10" s="24">
        <v>10</v>
      </c>
      <c r="P10" s="24">
        <v>15</v>
      </c>
      <c r="Q10" s="24">
        <v>12</v>
      </c>
      <c r="R10" s="24">
        <v>15</v>
      </c>
      <c r="S10" s="24">
        <v>9</v>
      </c>
      <c r="T10" s="24">
        <v>18</v>
      </c>
      <c r="U10" s="24">
        <v>14</v>
      </c>
      <c r="V10" s="24">
        <v>19</v>
      </c>
      <c r="W10" s="24">
        <v>11</v>
      </c>
      <c r="X10" s="24">
        <v>16</v>
      </c>
      <c r="Y10" s="24">
        <v>10</v>
      </c>
      <c r="Z10" s="24">
        <v>13</v>
      </c>
      <c r="AA10" s="24">
        <v>8</v>
      </c>
    </row>
    <row r="11" spans="1:27" x14ac:dyDescent="0.2">
      <c r="A11" s="21" t="s">
        <v>16</v>
      </c>
      <c r="B11" s="24">
        <v>13</v>
      </c>
      <c r="C11" s="24">
        <v>8</v>
      </c>
      <c r="D11" s="24">
        <v>13</v>
      </c>
      <c r="E11" s="24">
        <v>8</v>
      </c>
      <c r="F11" s="24">
        <v>11</v>
      </c>
      <c r="G11" s="24">
        <v>6</v>
      </c>
      <c r="H11" s="24">
        <v>11</v>
      </c>
      <c r="I11" s="24">
        <v>9</v>
      </c>
      <c r="J11" s="24">
        <v>6</v>
      </c>
      <c r="K11" s="24">
        <v>6</v>
      </c>
      <c r="L11" s="24">
        <v>6</v>
      </c>
      <c r="M11" s="24">
        <v>5</v>
      </c>
      <c r="N11" s="24">
        <v>5</v>
      </c>
      <c r="O11" s="24">
        <v>5</v>
      </c>
      <c r="P11" s="24">
        <v>5</v>
      </c>
      <c r="Q11" s="24">
        <v>5</v>
      </c>
      <c r="R11" s="24">
        <v>3</v>
      </c>
      <c r="S11" s="24">
        <v>3</v>
      </c>
      <c r="T11" s="24">
        <v>4</v>
      </c>
      <c r="U11" s="24">
        <v>3</v>
      </c>
      <c r="V11" s="24">
        <v>3</v>
      </c>
      <c r="W11" s="24">
        <v>2</v>
      </c>
      <c r="X11" s="24">
        <v>4</v>
      </c>
      <c r="Y11" s="24">
        <v>2</v>
      </c>
      <c r="Z11" s="24">
        <v>6</v>
      </c>
      <c r="AA11" s="24">
        <v>2</v>
      </c>
    </row>
    <row r="13" spans="1:27" x14ac:dyDescent="0.2">
      <c r="A13" s="25" t="s">
        <v>144</v>
      </c>
      <c r="B13" s="26">
        <v>181</v>
      </c>
      <c r="C13" s="26">
        <v>159</v>
      </c>
      <c r="D13" s="26">
        <v>177</v>
      </c>
      <c r="E13" s="26">
        <v>148</v>
      </c>
      <c r="F13" s="26">
        <v>165</v>
      </c>
      <c r="G13" s="26">
        <v>133</v>
      </c>
      <c r="H13" s="26">
        <v>168</v>
      </c>
      <c r="I13" s="26">
        <v>138</v>
      </c>
      <c r="J13" s="26">
        <v>146</v>
      </c>
      <c r="K13" s="26">
        <v>121</v>
      </c>
      <c r="L13" s="26">
        <v>156</v>
      </c>
      <c r="M13" s="26">
        <v>136</v>
      </c>
      <c r="N13" s="26">
        <v>153</v>
      </c>
      <c r="O13" s="26">
        <v>119</v>
      </c>
      <c r="P13" s="26">
        <v>143</v>
      </c>
      <c r="Q13" s="26">
        <v>114</v>
      </c>
      <c r="R13" s="26">
        <v>128</v>
      </c>
      <c r="S13" s="26">
        <v>104</v>
      </c>
      <c r="T13" s="26">
        <v>134</v>
      </c>
      <c r="U13" s="26">
        <v>112</v>
      </c>
      <c r="V13" s="26">
        <v>123</v>
      </c>
      <c r="W13" s="26">
        <v>98</v>
      </c>
      <c r="X13" s="26">
        <v>123</v>
      </c>
      <c r="Y13" s="26">
        <v>95</v>
      </c>
      <c r="Z13" s="26">
        <v>112</v>
      </c>
      <c r="AA13" s="26">
        <v>89</v>
      </c>
    </row>
    <row r="15" spans="1:27" x14ac:dyDescent="0.2">
      <c r="A15" s="43" t="s">
        <v>0</v>
      </c>
      <c r="B15" s="22" t="s">
        <v>128</v>
      </c>
      <c r="C15" s="22" t="s">
        <v>129</v>
      </c>
      <c r="D15" s="22" t="s">
        <v>130</v>
      </c>
      <c r="E15" s="22" t="s">
        <v>131</v>
      </c>
      <c r="F15" s="22" t="s">
        <v>132</v>
      </c>
      <c r="G15" s="22" t="s">
        <v>133</v>
      </c>
      <c r="H15" s="22" t="s">
        <v>134</v>
      </c>
      <c r="I15" s="22" t="s">
        <v>135</v>
      </c>
      <c r="J15" s="22" t="s">
        <v>136</v>
      </c>
      <c r="K15" s="22" t="s">
        <v>137</v>
      </c>
      <c r="L15" s="22" t="s">
        <v>138</v>
      </c>
      <c r="M15" s="22" t="s">
        <v>139</v>
      </c>
      <c r="N15" s="40" t="s">
        <v>140</v>
      </c>
      <c r="O15" s="3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x14ac:dyDescent="0.2">
      <c r="A16" s="43"/>
      <c r="B16" s="23" t="s">
        <v>143</v>
      </c>
      <c r="C16" s="23" t="s">
        <v>143</v>
      </c>
      <c r="D16" s="23" t="s">
        <v>143</v>
      </c>
      <c r="E16" s="23" t="s">
        <v>143</v>
      </c>
      <c r="F16" s="23" t="s">
        <v>143</v>
      </c>
      <c r="G16" s="23" t="s">
        <v>143</v>
      </c>
      <c r="H16" s="23" t="s">
        <v>143</v>
      </c>
      <c r="I16" s="23" t="s">
        <v>143</v>
      </c>
      <c r="J16" s="23" t="s">
        <v>143</v>
      </c>
      <c r="K16" s="23" t="s">
        <v>143</v>
      </c>
      <c r="L16" s="23" t="s">
        <v>143</v>
      </c>
      <c r="M16" s="29" t="s">
        <v>143</v>
      </c>
      <c r="N16" s="23" t="s">
        <v>143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 x14ac:dyDescent="0.2">
      <c r="A17" s="21" t="s">
        <v>14</v>
      </c>
      <c r="B17" s="24">
        <f>+C5</f>
        <v>53</v>
      </c>
      <c r="C17" s="24">
        <f>+E5</f>
        <v>46</v>
      </c>
      <c r="D17" s="24">
        <f>+G5</f>
        <v>47</v>
      </c>
      <c r="E17" s="24">
        <f>+I5</f>
        <v>46</v>
      </c>
      <c r="F17" s="24">
        <f>+K5</f>
        <v>41</v>
      </c>
      <c r="G17" s="24">
        <f>+M5</f>
        <v>41</v>
      </c>
      <c r="H17" s="24">
        <f>+O5</f>
        <v>38</v>
      </c>
      <c r="I17" s="24">
        <f>+Q5</f>
        <v>40</v>
      </c>
      <c r="J17" s="24">
        <f>+S5</f>
        <v>37</v>
      </c>
      <c r="K17" s="24">
        <f>+U5</f>
        <v>30</v>
      </c>
      <c r="L17" s="24">
        <f>+W5</f>
        <v>27</v>
      </c>
      <c r="M17" s="30">
        <f>+Y5</f>
        <v>24</v>
      </c>
      <c r="N17" s="24">
        <f>+AA5</f>
        <v>22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 x14ac:dyDescent="0.2">
      <c r="A18" s="21" t="s">
        <v>18</v>
      </c>
      <c r="B18" s="24">
        <f t="shared" ref="B18:B23" si="0">+C6</f>
        <v>35</v>
      </c>
      <c r="C18" s="24">
        <f t="shared" ref="C18:C23" si="1">+E6</f>
        <v>32</v>
      </c>
      <c r="D18" s="24">
        <f t="shared" ref="D18:D23" si="2">+G6</f>
        <v>28</v>
      </c>
      <c r="E18" s="24">
        <f t="shared" ref="E18:E23" si="3">+I6</f>
        <v>31</v>
      </c>
      <c r="F18" s="24">
        <f t="shared" ref="F18:F23" si="4">+K6</f>
        <v>30</v>
      </c>
      <c r="G18" s="24">
        <f t="shared" ref="G18:G23" si="5">+M6</f>
        <v>36</v>
      </c>
      <c r="H18" s="24">
        <f t="shared" ref="H18:H23" si="6">+O6</f>
        <v>32</v>
      </c>
      <c r="I18" s="24">
        <f t="shared" ref="I18:I23" si="7">+Q6</f>
        <v>28</v>
      </c>
      <c r="J18" s="24">
        <f t="shared" ref="J18:J23" si="8">+S6</f>
        <v>28</v>
      </c>
      <c r="K18" s="24">
        <f t="shared" ref="K18:K23" si="9">+U6</f>
        <v>34</v>
      </c>
      <c r="L18" s="24">
        <f t="shared" ref="L18:L23" si="10">+W6</f>
        <v>33</v>
      </c>
      <c r="M18" s="30">
        <f t="shared" ref="M18:M23" si="11">+Y6</f>
        <v>33</v>
      </c>
      <c r="N18" s="24">
        <f t="shared" ref="N18:N23" si="12">+AA6</f>
        <v>31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 x14ac:dyDescent="0.2">
      <c r="A19" s="21" t="s">
        <v>19</v>
      </c>
      <c r="B19" s="24">
        <f t="shared" si="0"/>
        <v>19</v>
      </c>
      <c r="C19" s="24">
        <f t="shared" si="1"/>
        <v>18</v>
      </c>
      <c r="D19" s="24">
        <f t="shared" si="2"/>
        <v>13</v>
      </c>
      <c r="E19" s="24">
        <f t="shared" si="3"/>
        <v>11</v>
      </c>
      <c r="F19" s="24">
        <f t="shared" si="4"/>
        <v>12</v>
      </c>
      <c r="G19" s="24">
        <f t="shared" si="5"/>
        <v>13</v>
      </c>
      <c r="H19" s="24">
        <f t="shared" si="6"/>
        <v>9</v>
      </c>
      <c r="I19" s="24">
        <f t="shared" si="7"/>
        <v>9</v>
      </c>
      <c r="J19" s="24">
        <f t="shared" si="8"/>
        <v>9</v>
      </c>
      <c r="K19" s="24">
        <f t="shared" si="9"/>
        <v>11</v>
      </c>
      <c r="L19" s="24">
        <f t="shared" si="10"/>
        <v>10</v>
      </c>
      <c r="M19" s="30">
        <f t="shared" si="11"/>
        <v>10</v>
      </c>
      <c r="N19" s="24">
        <f t="shared" si="12"/>
        <v>9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 x14ac:dyDescent="0.2">
      <c r="A20" s="21" t="s">
        <v>15</v>
      </c>
      <c r="B20" s="24">
        <f t="shared" si="0"/>
        <v>12</v>
      </c>
      <c r="C20" s="24">
        <f t="shared" si="1"/>
        <v>14</v>
      </c>
      <c r="D20" s="24">
        <f t="shared" si="2"/>
        <v>14</v>
      </c>
      <c r="E20" s="24">
        <f t="shared" si="3"/>
        <v>12</v>
      </c>
      <c r="F20" s="24">
        <f t="shared" si="4"/>
        <v>12</v>
      </c>
      <c r="G20" s="24">
        <f t="shared" si="5"/>
        <v>15</v>
      </c>
      <c r="H20" s="24">
        <f t="shared" si="6"/>
        <v>14</v>
      </c>
      <c r="I20" s="24">
        <f t="shared" si="7"/>
        <v>12</v>
      </c>
      <c r="J20" s="24">
        <f t="shared" si="8"/>
        <v>11</v>
      </c>
      <c r="K20" s="24">
        <f t="shared" si="9"/>
        <v>13</v>
      </c>
      <c r="L20" s="24">
        <f t="shared" si="10"/>
        <v>10</v>
      </c>
      <c r="M20" s="30">
        <f t="shared" si="11"/>
        <v>8</v>
      </c>
      <c r="N20" s="24">
        <f t="shared" si="12"/>
        <v>7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 x14ac:dyDescent="0.2">
      <c r="A21" s="21" t="s">
        <v>17</v>
      </c>
      <c r="B21" s="24">
        <f t="shared" si="0"/>
        <v>15</v>
      </c>
      <c r="C21" s="24">
        <f t="shared" si="1"/>
        <v>15</v>
      </c>
      <c r="D21" s="24">
        <f t="shared" si="2"/>
        <v>12</v>
      </c>
      <c r="E21" s="24">
        <f t="shared" si="3"/>
        <v>16</v>
      </c>
      <c r="F21" s="24">
        <f t="shared" si="4"/>
        <v>12</v>
      </c>
      <c r="G21" s="24">
        <f t="shared" si="5"/>
        <v>12</v>
      </c>
      <c r="H21" s="24">
        <f t="shared" si="6"/>
        <v>11</v>
      </c>
      <c r="I21" s="24">
        <f t="shared" si="7"/>
        <v>8</v>
      </c>
      <c r="J21" s="24">
        <f t="shared" si="8"/>
        <v>7</v>
      </c>
      <c r="K21" s="24">
        <f t="shared" si="9"/>
        <v>7</v>
      </c>
      <c r="L21" s="24">
        <f t="shared" si="10"/>
        <v>5</v>
      </c>
      <c r="M21" s="30">
        <f t="shared" si="11"/>
        <v>8</v>
      </c>
      <c r="N21" s="24">
        <f t="shared" si="12"/>
        <v>10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 x14ac:dyDescent="0.2">
      <c r="A22" s="21" t="s">
        <v>20</v>
      </c>
      <c r="B22" s="24">
        <f t="shared" si="0"/>
        <v>17</v>
      </c>
      <c r="C22" s="24">
        <f t="shared" si="1"/>
        <v>15</v>
      </c>
      <c r="D22" s="24">
        <f t="shared" si="2"/>
        <v>13</v>
      </c>
      <c r="E22" s="24">
        <f t="shared" si="3"/>
        <v>13</v>
      </c>
      <c r="F22" s="24">
        <f t="shared" si="4"/>
        <v>8</v>
      </c>
      <c r="G22" s="24">
        <f t="shared" si="5"/>
        <v>14</v>
      </c>
      <c r="H22" s="24">
        <f t="shared" si="6"/>
        <v>10</v>
      </c>
      <c r="I22" s="24">
        <f t="shared" si="7"/>
        <v>12</v>
      </c>
      <c r="J22" s="24">
        <f t="shared" si="8"/>
        <v>9</v>
      </c>
      <c r="K22" s="24">
        <f t="shared" si="9"/>
        <v>14</v>
      </c>
      <c r="L22" s="24">
        <f t="shared" si="10"/>
        <v>11</v>
      </c>
      <c r="M22" s="30">
        <f t="shared" si="11"/>
        <v>10</v>
      </c>
      <c r="N22" s="24">
        <f t="shared" si="12"/>
        <v>8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 x14ac:dyDescent="0.2">
      <c r="A23" s="21" t="s">
        <v>16</v>
      </c>
      <c r="B23" s="24">
        <f t="shared" si="0"/>
        <v>8</v>
      </c>
      <c r="C23" s="24">
        <f t="shared" si="1"/>
        <v>8</v>
      </c>
      <c r="D23" s="24">
        <f t="shared" si="2"/>
        <v>6</v>
      </c>
      <c r="E23" s="24">
        <f t="shared" si="3"/>
        <v>9</v>
      </c>
      <c r="F23" s="24">
        <f t="shared" si="4"/>
        <v>6</v>
      </c>
      <c r="G23" s="24">
        <f t="shared" si="5"/>
        <v>5</v>
      </c>
      <c r="H23" s="24">
        <f t="shared" si="6"/>
        <v>5</v>
      </c>
      <c r="I23" s="24">
        <f t="shared" si="7"/>
        <v>5</v>
      </c>
      <c r="J23" s="24">
        <f t="shared" si="8"/>
        <v>3</v>
      </c>
      <c r="K23" s="24">
        <f t="shared" si="9"/>
        <v>3</v>
      </c>
      <c r="L23" s="24">
        <f t="shared" si="10"/>
        <v>2</v>
      </c>
      <c r="M23" s="30">
        <f t="shared" si="11"/>
        <v>2</v>
      </c>
      <c r="N23" s="24">
        <f t="shared" si="12"/>
        <v>2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 x14ac:dyDescent="0.2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x14ac:dyDescent="0.2">
      <c r="A25" s="25" t="s">
        <v>144</v>
      </c>
      <c r="B25" s="24">
        <f>SUM(B17:B24)</f>
        <v>159</v>
      </c>
      <c r="C25" s="24">
        <f t="shared" ref="C25:N25" si="13">SUM(C17:C24)</f>
        <v>148</v>
      </c>
      <c r="D25" s="24">
        <f t="shared" si="13"/>
        <v>133</v>
      </c>
      <c r="E25" s="24">
        <f t="shared" si="13"/>
        <v>138</v>
      </c>
      <c r="F25" s="24">
        <f t="shared" si="13"/>
        <v>121</v>
      </c>
      <c r="G25" s="24">
        <f t="shared" si="13"/>
        <v>136</v>
      </c>
      <c r="H25" s="24">
        <f t="shared" si="13"/>
        <v>119</v>
      </c>
      <c r="I25" s="24">
        <f t="shared" si="13"/>
        <v>114</v>
      </c>
      <c r="J25" s="24">
        <f t="shared" si="13"/>
        <v>104</v>
      </c>
      <c r="K25" s="24">
        <f t="shared" si="13"/>
        <v>112</v>
      </c>
      <c r="L25" s="24">
        <f t="shared" si="13"/>
        <v>98</v>
      </c>
      <c r="M25" s="24">
        <f t="shared" si="13"/>
        <v>95</v>
      </c>
      <c r="N25" s="24">
        <f t="shared" si="13"/>
        <v>89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 x14ac:dyDescent="0.2">
      <c r="A30" s="27" t="s">
        <v>145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146</v>
      </c>
      <c r="B31" s="1">
        <f>+'Bench Forecast'!B9</f>
        <v>142</v>
      </c>
      <c r="C31" s="1">
        <f>+'Bench Forecast'!C9</f>
        <v>157</v>
      </c>
      <c r="D31" s="1">
        <f>+'Bench Forecast'!D9</f>
        <v>161</v>
      </c>
      <c r="E31" s="1">
        <f>+'Bench Forecast'!E9</f>
        <v>168</v>
      </c>
      <c r="F31" s="1">
        <f>+'Bench Forecast'!F9</f>
        <v>166</v>
      </c>
      <c r="G31" s="1">
        <f>+'Bench Forecast'!G9</f>
        <v>180</v>
      </c>
      <c r="H31" s="1">
        <f>+'Bench Forecast'!H9</f>
        <v>181</v>
      </c>
      <c r="I31" s="1">
        <f>+'Bench Forecast'!I9</f>
        <v>180</v>
      </c>
      <c r="J31" s="1">
        <f>+'Bench Forecast'!J9</f>
        <v>178</v>
      </c>
      <c r="K31" s="1">
        <f>+'Bench Forecast'!K9</f>
        <v>212</v>
      </c>
      <c r="L31" s="1">
        <f>+'Bench Forecast'!L9</f>
        <v>222</v>
      </c>
      <c r="M31" s="1">
        <f>+'Bench Forecast'!M9</f>
        <v>222</v>
      </c>
      <c r="N31" s="1">
        <f>+'Bench Forecast'!N9</f>
        <v>218</v>
      </c>
    </row>
    <row r="32" spans="1:27" x14ac:dyDescent="0.2">
      <c r="A32" s="2" t="s">
        <v>147</v>
      </c>
      <c r="B32" s="28">
        <f>+B25</f>
        <v>159</v>
      </c>
      <c r="C32" s="28">
        <f t="shared" ref="C32:N32" si="14">+C25</f>
        <v>148</v>
      </c>
      <c r="D32" s="28">
        <f t="shared" si="14"/>
        <v>133</v>
      </c>
      <c r="E32" s="28">
        <f t="shared" si="14"/>
        <v>138</v>
      </c>
      <c r="F32" s="28">
        <f t="shared" si="14"/>
        <v>121</v>
      </c>
      <c r="G32" s="28">
        <f t="shared" si="14"/>
        <v>136</v>
      </c>
      <c r="H32" s="28">
        <f t="shared" si="14"/>
        <v>119</v>
      </c>
      <c r="I32" s="28">
        <f t="shared" si="14"/>
        <v>114</v>
      </c>
      <c r="J32" s="28">
        <f t="shared" si="14"/>
        <v>104</v>
      </c>
      <c r="K32" s="28">
        <f t="shared" si="14"/>
        <v>112</v>
      </c>
      <c r="L32" s="28">
        <f t="shared" si="14"/>
        <v>98</v>
      </c>
      <c r="M32" s="28">
        <f t="shared" si="14"/>
        <v>95</v>
      </c>
      <c r="N32" s="28">
        <f t="shared" si="14"/>
        <v>89</v>
      </c>
    </row>
    <row r="33" spans="1:14" x14ac:dyDescent="0.2">
      <c r="A33" s="2" t="s">
        <v>148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39" t="s">
        <v>149</v>
      </c>
      <c r="C36" s="1"/>
      <c r="D36" s="1"/>
      <c r="E36" s="1"/>
    </row>
    <row r="37" spans="1:14" x14ac:dyDescent="0.2">
      <c r="A37" s="38" t="s">
        <v>150</v>
      </c>
      <c r="B37" s="1" t="s">
        <v>146</v>
      </c>
      <c r="C37" s="1" t="s">
        <v>147</v>
      </c>
      <c r="D37" s="1" t="s">
        <v>148</v>
      </c>
      <c r="E37" s="1" t="s">
        <v>21</v>
      </c>
    </row>
    <row r="38" spans="1:14" x14ac:dyDescent="0.2">
      <c r="A38" s="1" t="s">
        <v>151</v>
      </c>
      <c r="B38" s="47">
        <v>142</v>
      </c>
      <c r="C38" s="47">
        <v>159</v>
      </c>
      <c r="D38" s="47">
        <v>159</v>
      </c>
      <c r="E38" s="47">
        <v>460</v>
      </c>
    </row>
    <row r="39" spans="1:14" x14ac:dyDescent="0.2">
      <c r="A39" s="1" t="s">
        <v>152</v>
      </c>
      <c r="B39" s="47">
        <v>157</v>
      </c>
      <c r="C39" s="47">
        <v>148</v>
      </c>
      <c r="D39" s="47">
        <v>161</v>
      </c>
      <c r="E39" s="47">
        <v>466</v>
      </c>
    </row>
    <row r="40" spans="1:14" x14ac:dyDescent="0.2">
      <c r="A40" s="1" t="s">
        <v>153</v>
      </c>
      <c r="B40" s="47">
        <v>161</v>
      </c>
      <c r="C40" s="47">
        <v>133</v>
      </c>
      <c r="D40" s="47">
        <v>154</v>
      </c>
      <c r="E40" s="47">
        <v>448</v>
      </c>
    </row>
    <row r="41" spans="1:14" x14ac:dyDescent="0.2">
      <c r="A41" s="1" t="s">
        <v>154</v>
      </c>
      <c r="B41" s="47">
        <v>168</v>
      </c>
      <c r="C41" s="47">
        <v>138</v>
      </c>
      <c r="D41" s="47">
        <v>156</v>
      </c>
      <c r="E41" s="47">
        <v>462</v>
      </c>
    </row>
    <row r="42" spans="1:14" x14ac:dyDescent="0.2">
      <c r="A42" s="1" t="s">
        <v>155</v>
      </c>
      <c r="B42" s="47">
        <v>166</v>
      </c>
      <c r="C42" s="47">
        <v>121</v>
      </c>
      <c r="D42" s="47">
        <v>152</v>
      </c>
      <c r="E42" s="47">
        <v>439</v>
      </c>
    </row>
    <row r="43" spans="1:14" x14ac:dyDescent="0.2">
      <c r="A43" s="1" t="s">
        <v>156</v>
      </c>
      <c r="B43" s="47">
        <v>180</v>
      </c>
      <c r="C43" s="47">
        <v>136</v>
      </c>
      <c r="D43" s="47">
        <v>165</v>
      </c>
      <c r="E43" s="47">
        <v>481</v>
      </c>
    </row>
    <row r="44" spans="1:14" x14ac:dyDescent="0.2">
      <c r="A44" s="1" t="s">
        <v>157</v>
      </c>
      <c r="B44" s="47">
        <v>181</v>
      </c>
      <c r="C44" s="47">
        <v>119</v>
      </c>
      <c r="D44" s="47">
        <v>175</v>
      </c>
      <c r="E44" s="47">
        <v>475</v>
      </c>
    </row>
    <row r="45" spans="1:14" x14ac:dyDescent="0.2">
      <c r="A45" s="1" t="s">
        <v>158</v>
      </c>
      <c r="B45" s="47">
        <v>180</v>
      </c>
      <c r="C45" s="47">
        <v>114</v>
      </c>
      <c r="D45" s="47">
        <v>176</v>
      </c>
      <c r="E45" s="47">
        <v>470</v>
      </c>
    </row>
    <row r="46" spans="1:14" x14ac:dyDescent="0.2">
      <c r="A46" s="1" t="s">
        <v>159</v>
      </c>
      <c r="B46" s="47">
        <v>178</v>
      </c>
      <c r="C46" s="47">
        <v>104</v>
      </c>
      <c r="D46" s="47">
        <v>171</v>
      </c>
      <c r="E46" s="47">
        <v>453</v>
      </c>
    </row>
    <row r="47" spans="1:14" x14ac:dyDescent="0.2">
      <c r="A47" s="1" t="s">
        <v>160</v>
      </c>
      <c r="B47" s="47">
        <v>212</v>
      </c>
      <c r="C47" s="47">
        <v>112</v>
      </c>
      <c r="D47" s="47">
        <v>196</v>
      </c>
      <c r="E47" s="47">
        <v>520</v>
      </c>
    </row>
    <row r="48" spans="1:14" x14ac:dyDescent="0.2">
      <c r="A48" s="1" t="s">
        <v>161</v>
      </c>
      <c r="B48" s="47">
        <v>222</v>
      </c>
      <c r="C48" s="47">
        <v>98</v>
      </c>
      <c r="D48" s="47">
        <v>192</v>
      </c>
      <c r="E48" s="47">
        <v>512</v>
      </c>
    </row>
    <row r="49" spans="1:5" x14ac:dyDescent="0.2">
      <c r="A49" s="1" t="s">
        <v>162</v>
      </c>
      <c r="B49" s="47">
        <v>222</v>
      </c>
      <c r="C49" s="47">
        <v>95</v>
      </c>
      <c r="D49" s="47">
        <v>191</v>
      </c>
      <c r="E49" s="47">
        <v>508</v>
      </c>
    </row>
    <row r="50" spans="1:5" x14ac:dyDescent="0.2">
      <c r="A50" s="1" t="s">
        <v>163</v>
      </c>
      <c r="B50" s="47">
        <v>218</v>
      </c>
      <c r="C50" s="47">
        <v>89</v>
      </c>
      <c r="D50" s="47">
        <v>187</v>
      </c>
      <c r="E50" s="47">
        <v>494</v>
      </c>
    </row>
  </sheetData>
  <mergeCells count="35">
    <mergeCell ref="R15:S15"/>
    <mergeCell ref="T15:U15"/>
    <mergeCell ref="V15:W15"/>
    <mergeCell ref="X15:Y15"/>
    <mergeCell ref="Z15:AA15"/>
    <mergeCell ref="X3:Y3"/>
    <mergeCell ref="Z3:AA3"/>
    <mergeCell ref="A15:A16"/>
    <mergeCell ref="L3:M3"/>
    <mergeCell ref="N3:O3"/>
    <mergeCell ref="P3:Q3"/>
    <mergeCell ref="R3:S3"/>
    <mergeCell ref="T3:U3"/>
    <mergeCell ref="V3:W3"/>
    <mergeCell ref="B3:C3"/>
    <mergeCell ref="D3:E3"/>
    <mergeCell ref="F3:G3"/>
    <mergeCell ref="H3:I3"/>
    <mergeCell ref="J3:K3"/>
    <mergeCell ref="P15:Q15"/>
    <mergeCell ref="B1:AA1"/>
    <mergeCell ref="A2:A4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</mergeCells>
  <phoneticPr fontId="14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Edgar Ugalde Alvarado</dc:creator>
  <cp:keywords/>
  <dc:description/>
  <cp:lastModifiedBy>Jairo Naranjo Oconitrillo</cp:lastModifiedBy>
  <cp:revision/>
  <dcterms:created xsi:type="dcterms:W3CDTF">2025-07-14T18:02:48Z</dcterms:created>
  <dcterms:modified xsi:type="dcterms:W3CDTF">2026-08-07T21:35:02Z</dcterms:modified>
  <cp:category/>
  <cp:contentStatus/>
</cp:coreProperties>
</file>