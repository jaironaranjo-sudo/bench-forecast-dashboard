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bondcrx/Desktop/BOB!/Bench Forecast/"/>
    </mc:Choice>
  </mc:AlternateContent>
  <xr:revisionPtr revIDLastSave="0" documentId="13_ncr:1_{7D14E6E7-142A-0B43-9843-2E8F58973591}" xr6:coauthVersionLast="47" xr6:coauthVersionMax="47" xr10:uidLastSave="{00000000-0000-0000-0000-000000000000}"/>
  <bookViews>
    <workbookView xWindow="2400" yWindow="3120" windowWidth="27680" windowHeight="17020" xr2:uid="{00000000-000D-0000-FFFF-FFFF00000000}"/>
  </bookViews>
  <sheets>
    <sheet name="Bench Forecast" sheetId="1" r:id="rId1"/>
    <sheet name="Historic Bench Data" sheetId="2" r:id="rId2"/>
    <sheet name="Q3 2025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'Bench Forecast'!$A$1:$N$11</definedName>
    <definedName name="_xlnm._FilterDatabase" localSheetId="1" hidden="1">'Historic Bench Data'!$A$1:$K$32</definedName>
  </definedNames>
  <calcPr calcId="191029"/>
  <pivotCaches>
    <pivotCache cacheId="95" r:id="rId8"/>
    <pivotCache cacheId="9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2" l="1"/>
  <c r="N23" i="3"/>
  <c r="N22" i="3"/>
  <c r="L93" i="2"/>
  <c r="L92" i="2"/>
  <c r="L91" i="2"/>
  <c r="L90" i="2"/>
  <c r="L89" i="2"/>
  <c r="L88" i="2"/>
  <c r="L87" i="2"/>
  <c r="L86" i="2"/>
  <c r="K92" i="2"/>
  <c r="K91" i="2"/>
  <c r="K90" i="2"/>
  <c r="K89" i="2"/>
  <c r="K88" i="2"/>
  <c r="K87" i="2"/>
  <c r="K86" i="2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N25" i="3" s="1"/>
  <c r="N32" i="3" s="1"/>
  <c r="M17" i="3"/>
  <c r="M25" i="3" s="1"/>
  <c r="M32" i="3" s="1"/>
  <c r="L17" i="3"/>
  <c r="L25" i="3" s="1"/>
  <c r="L32" i="3" s="1"/>
  <c r="K17" i="3"/>
  <c r="K25" i="3" s="1"/>
  <c r="K32" i="3" s="1"/>
  <c r="J17" i="3"/>
  <c r="J25" i="3" s="1"/>
  <c r="J32" i="3" s="1"/>
  <c r="I17" i="3"/>
  <c r="I25" i="3" s="1"/>
  <c r="I32" i="3" s="1"/>
  <c r="H17" i="3"/>
  <c r="H25" i="3" s="1"/>
  <c r="H32" i="3" s="1"/>
  <c r="G17" i="3"/>
  <c r="G25" i="3" s="1"/>
  <c r="G32" i="3" s="1"/>
  <c r="F17" i="3"/>
  <c r="F25" i="3" s="1"/>
  <c r="F32" i="3" s="1"/>
  <c r="E17" i="3"/>
  <c r="E25" i="3" s="1"/>
  <c r="E32" i="3" s="1"/>
  <c r="D17" i="3"/>
  <c r="D25" i="3" s="1"/>
  <c r="D32" i="3" s="1"/>
  <c r="C17" i="3"/>
  <c r="C25" i="3" s="1"/>
  <c r="C32" i="3" s="1"/>
  <c r="B17" i="3"/>
  <c r="B25" i="3" s="1"/>
  <c r="B32" i="3" s="1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L77" i="2"/>
  <c r="J77" i="2"/>
  <c r="I77" i="2"/>
  <c r="K77" i="2" s="1"/>
  <c r="H77" i="2"/>
  <c r="G77" i="2"/>
  <c r="F77" i="2"/>
  <c r="E77" i="2"/>
  <c r="D77" i="2"/>
  <c r="L76" i="2"/>
  <c r="K76" i="2"/>
  <c r="L75" i="2"/>
  <c r="J75" i="2"/>
  <c r="I75" i="2"/>
  <c r="H75" i="2"/>
  <c r="G75" i="2"/>
  <c r="F75" i="2"/>
  <c r="E75" i="2"/>
  <c r="D75" i="2"/>
  <c r="K75" i="2" s="1"/>
  <c r="L74" i="2"/>
  <c r="K74" i="2"/>
  <c r="L73" i="2"/>
  <c r="K73" i="2"/>
  <c r="J73" i="2"/>
  <c r="I73" i="2"/>
  <c r="H73" i="2"/>
  <c r="G73" i="2"/>
  <c r="F73" i="2"/>
  <c r="E73" i="2"/>
  <c r="D73" i="2"/>
  <c r="L72" i="2"/>
  <c r="K72" i="2"/>
  <c r="L71" i="2"/>
  <c r="J71" i="2"/>
  <c r="I71" i="2"/>
  <c r="H71" i="2"/>
  <c r="G71" i="2"/>
  <c r="F71" i="2"/>
  <c r="E71" i="2"/>
  <c r="D71" i="2"/>
  <c r="K71" i="2" s="1"/>
  <c r="L70" i="2"/>
  <c r="K70" i="2"/>
  <c r="L69" i="2"/>
  <c r="L68" i="2"/>
  <c r="L67" i="2"/>
  <c r="L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L39" i="2"/>
  <c r="L38" i="2"/>
  <c r="L37" i="2"/>
  <c r="L36" i="2"/>
  <c r="L35" i="2"/>
  <c r="K35" i="2"/>
  <c r="L34" i="2"/>
  <c r="L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N9" i="1"/>
  <c r="N31" i="3" s="1"/>
  <c r="M9" i="1"/>
  <c r="M31" i="3" s="1"/>
  <c r="L9" i="1"/>
  <c r="L31" i="3" s="1"/>
  <c r="K9" i="1"/>
  <c r="K31" i="3" s="1"/>
  <c r="J9" i="1"/>
  <c r="J31" i="3" s="1"/>
  <c r="I9" i="1"/>
  <c r="I31" i="3" s="1"/>
  <c r="H9" i="1"/>
  <c r="H10" i="1" s="1"/>
  <c r="G9" i="1"/>
  <c r="F9" i="1"/>
  <c r="E9" i="1"/>
  <c r="E31" i="3" s="1"/>
  <c r="D9" i="1"/>
  <c r="D31" i="3" s="1"/>
  <c r="C9" i="1"/>
  <c r="B9" i="1"/>
  <c r="B31" i="3" l="1"/>
  <c r="B10" i="1"/>
  <c r="C31" i="3"/>
  <c r="C10" i="1"/>
  <c r="F31" i="3"/>
  <c r="F10" i="1"/>
  <c r="G31" i="3"/>
  <c r="G10" i="1"/>
  <c r="M10" i="1"/>
  <c r="L10" i="1"/>
  <c r="K10" i="1"/>
  <c r="I10" i="1"/>
  <c r="J10" i="1"/>
  <c r="H31" i="3"/>
  <c r="N10" i="1"/>
  <c r="D10" i="1"/>
  <c r="E10" i="1"/>
</calcChain>
</file>

<file path=xl/sharedStrings.xml><?xml version="1.0" encoding="utf-8"?>
<sst xmlns="http://schemas.openxmlformats.org/spreadsheetml/2006/main" count="546" uniqueCount="180">
  <si>
    <t>Center</t>
  </si>
  <si>
    <t>Wk 01</t>
  </si>
  <si>
    <t>Wk 02</t>
  </si>
  <si>
    <t>Wk 03</t>
  </si>
  <si>
    <t>Wk 04</t>
  </si>
  <si>
    <t>Wk 05</t>
  </si>
  <si>
    <t>Wk 06</t>
  </si>
  <si>
    <t>Wk 07</t>
  </si>
  <si>
    <t>Wk 08</t>
  </si>
  <si>
    <t>Wk 09</t>
  </si>
  <si>
    <t>Wk 10</t>
  </si>
  <si>
    <t>Wk 11</t>
  </si>
  <si>
    <t>Wk 12</t>
  </si>
  <si>
    <t>Wk 13</t>
  </si>
  <si>
    <t>Baton Rouge</t>
  </si>
  <si>
    <t>Buffalo</t>
  </si>
  <si>
    <t>Calgary</t>
  </si>
  <si>
    <t>Halifax</t>
  </si>
  <si>
    <t>Lansing</t>
  </si>
  <si>
    <t>Monroe</t>
  </si>
  <si>
    <t>Quebec</t>
  </si>
  <si>
    <t>Grand Total</t>
  </si>
  <si>
    <t>Bench %</t>
  </si>
  <si>
    <t>HC</t>
  </si>
  <si>
    <t>Year</t>
  </si>
  <si>
    <t>Quarter</t>
  </si>
  <si>
    <t>Week</t>
  </si>
  <si>
    <t>East Lansing</t>
  </si>
  <si>
    <t>NA CIC</t>
  </si>
  <si>
    <t>Wk</t>
  </si>
  <si>
    <t>1Q</t>
  </si>
  <si>
    <t>WK 01</t>
  </si>
  <si>
    <t>WK 02</t>
  </si>
  <si>
    <t>1Q WK 01</t>
  </si>
  <si>
    <t>WK 03</t>
  </si>
  <si>
    <t>1Q WK 02</t>
  </si>
  <si>
    <t>WK 04</t>
  </si>
  <si>
    <t>1Q WK 03</t>
  </si>
  <si>
    <t>WK 05</t>
  </si>
  <si>
    <t>1Q WK 04</t>
  </si>
  <si>
    <t>WK 06</t>
  </si>
  <si>
    <t>1Q WK 05</t>
  </si>
  <si>
    <t>WK 07</t>
  </si>
  <si>
    <t>1Q WK 06</t>
  </si>
  <si>
    <t>WK 08</t>
  </si>
  <si>
    <t>1Q WK 07</t>
  </si>
  <si>
    <t>WK 09</t>
  </si>
  <si>
    <t>1Q WK 08</t>
  </si>
  <si>
    <t>WK 10</t>
  </si>
  <si>
    <t>1Q WK 09</t>
  </si>
  <si>
    <t>WK 11</t>
  </si>
  <si>
    <t>1Q WK 10</t>
  </si>
  <si>
    <t>WK 12</t>
  </si>
  <si>
    <t>1Q WK 11</t>
  </si>
  <si>
    <t>WK 13</t>
  </si>
  <si>
    <t>1Q WK 12</t>
  </si>
  <si>
    <t>2Q</t>
  </si>
  <si>
    <t>1Q WK 13</t>
  </si>
  <si>
    <t>2Q WK 01</t>
  </si>
  <si>
    <t>2Q WK 02</t>
  </si>
  <si>
    <t>2Q WK 03</t>
  </si>
  <si>
    <t>2Q WK 04</t>
  </si>
  <si>
    <t>2Q WK 05</t>
  </si>
  <si>
    <t>2Q WK 06</t>
  </si>
  <si>
    <t>2Q WK 07</t>
  </si>
  <si>
    <t>2Q WK 08</t>
  </si>
  <si>
    <t>Row Labels</t>
  </si>
  <si>
    <t>Sum of NA CIC</t>
  </si>
  <si>
    <t>2Q WK 09</t>
  </si>
  <si>
    <t>2Q WK 10</t>
  </si>
  <si>
    <t>2Q WK 11</t>
  </si>
  <si>
    <t>2Q WK 12</t>
  </si>
  <si>
    <t>3Q</t>
  </si>
  <si>
    <t>2Q WK 13</t>
  </si>
  <si>
    <t>3Q WK 01</t>
  </si>
  <si>
    <t>3Q WK 02</t>
  </si>
  <si>
    <t>3Q WK 03</t>
  </si>
  <si>
    <t>3Q WK 04</t>
  </si>
  <si>
    <t>3Q WK 05</t>
  </si>
  <si>
    <t>3Q WK 06</t>
  </si>
  <si>
    <t>3Q WK 07</t>
  </si>
  <si>
    <t>3Q WK 08</t>
  </si>
  <si>
    <t>3Q WK 09</t>
  </si>
  <si>
    <t>3Q WK 10</t>
  </si>
  <si>
    <t>3Q WK 11</t>
  </si>
  <si>
    <t>3Q WK 12</t>
  </si>
  <si>
    <t>4Q</t>
  </si>
  <si>
    <t>3Q WK 13</t>
  </si>
  <si>
    <t>4Q WK 01</t>
  </si>
  <si>
    <t>4Q WK 02</t>
  </si>
  <si>
    <t>4Q WK 03</t>
  </si>
  <si>
    <t>4Q WK 04</t>
  </si>
  <si>
    <t>4Q WK 05</t>
  </si>
  <si>
    <t>4Q WK 06</t>
  </si>
  <si>
    <t>4Q WK 07</t>
  </si>
  <si>
    <t>4Q WK 08</t>
  </si>
  <si>
    <t>4Q WK 09</t>
  </si>
  <si>
    <t>4Q WK 10</t>
  </si>
  <si>
    <t>4Q WK 11</t>
  </si>
  <si>
    <t>4Q WK 12</t>
  </si>
  <si>
    <t>4Q WK 13</t>
  </si>
  <si>
    <t>1Q26 WK 01</t>
  </si>
  <si>
    <t>1Q26 WK 02</t>
  </si>
  <si>
    <t>1Q26 WK 03</t>
  </si>
  <si>
    <t>1Q26 WK 04</t>
  </si>
  <si>
    <t>1Q26 WK 05</t>
  </si>
  <si>
    <t>1Q26 WK 06</t>
  </si>
  <si>
    <t>1Q26 WK07</t>
  </si>
  <si>
    <t>1Q26 WK08</t>
  </si>
  <si>
    <t>1Q26 WK09</t>
  </si>
  <si>
    <t>1Q26 WK10</t>
  </si>
  <si>
    <t>1Q26 WK11</t>
  </si>
  <si>
    <t>1Q26 WK12</t>
  </si>
  <si>
    <t>2Q26 WK1</t>
  </si>
  <si>
    <t>2Q26 WK2</t>
  </si>
  <si>
    <t>2Q26 WK3</t>
  </si>
  <si>
    <t>2Q26 WK4</t>
  </si>
  <si>
    <t>2Q26 WK5</t>
  </si>
  <si>
    <t>2Q26 WK6</t>
  </si>
  <si>
    <t>2Q26 WK7</t>
  </si>
  <si>
    <t>2Q26 WK8</t>
  </si>
  <si>
    <t>2Q26 WK9</t>
  </si>
  <si>
    <t>2Q26 WK10</t>
  </si>
  <si>
    <t>2Q26 WK11</t>
  </si>
  <si>
    <t>2Q26 WK12</t>
  </si>
  <si>
    <t>2Q26 WK13</t>
  </si>
  <si>
    <t>3Q26 WK1</t>
  </si>
  <si>
    <t>3Q26 WK2</t>
  </si>
  <si>
    <t>3Q26 WK3</t>
  </si>
  <si>
    <t>3Q26 WK4</t>
  </si>
  <si>
    <t>3Q26 WK5</t>
  </si>
  <si>
    <t>3Q26 WK6</t>
  </si>
  <si>
    <t>3Q26 WK7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</si>
  <si>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</si>
  <si>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</si>
  <si>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</si>
  <si>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</si>
  <si>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</si>
  <si>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</si>
  <si>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</si>
  <si>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</si>
  <si>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</si>
  <si>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</si>
  <si>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</si>
  <si>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</si>
  <si>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</si>
  <si>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BBD</t>
  </si>
  <si>
    <t>Net</t>
  </si>
  <si>
    <t>NA</t>
  </si>
  <si>
    <t>Total Bench</t>
  </si>
  <si>
    <t>Q3 26 Forecast</t>
  </si>
  <si>
    <t>Q3 25 bench</t>
  </si>
  <si>
    <t>Q3 Original Forecast</t>
  </si>
  <si>
    <t>Column Labels</t>
  </si>
  <si>
    <t xml:space="preserve">Week </t>
  </si>
  <si>
    <t xml:space="preserve"> Wk 01</t>
  </si>
  <si>
    <t xml:space="preserve"> Wk 02</t>
  </si>
  <si>
    <t xml:space="preserve">  Wk 03</t>
  </si>
  <si>
    <t xml:space="preserve">  Wk 04</t>
  </si>
  <si>
    <t xml:space="preserve">  Wk 05</t>
  </si>
  <si>
    <t xml:space="preserve">  Wk 06</t>
  </si>
  <si>
    <t xml:space="preserve">  Wk 07</t>
  </si>
  <si>
    <t xml:space="preserve">  Wk 08</t>
  </si>
  <si>
    <t xml:space="preserve">  Wk 09</t>
  </si>
  <si>
    <t xml:space="preserve">  Wk 10</t>
  </si>
  <si>
    <t xml:space="preserve">  Wk 11</t>
  </si>
  <si>
    <t xml:space="preserve">  Wk 12</t>
  </si>
  <si>
    <t xml:space="preserve">  Wk 13</t>
  </si>
  <si>
    <t>3Q26 WK08</t>
  </si>
  <si>
    <t>3Q26 WK09</t>
  </si>
  <si>
    <t>3Q26 WK10</t>
  </si>
  <si>
    <t>3Q26 WK11</t>
  </si>
  <si>
    <t>3Q26 WK12</t>
  </si>
  <si>
    <t>3Q26 WK13</t>
  </si>
  <si>
    <t>4Q26 WK01</t>
  </si>
  <si>
    <t>Q4</t>
  </si>
  <si>
    <t>Actual</t>
  </si>
  <si>
    <t>Fcst</t>
  </si>
  <si>
    <t>4Q26 WK02</t>
  </si>
  <si>
    <t>4Q26 WK03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</si>
</sst>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FFFFFF"/>
      <name val="Aptos Narrow"/>
      <family val="2"/>
      <scheme val="minor"/>
    </font>
    <font>
      <b/>
      <sz val="10.5"/>
      <color rgb="FF000000"/>
      <name val="Aptos Narrow"/>
      <family val="2"/>
      <scheme val="minor"/>
    </font>
    <font>
      <sz val="10.5"/>
      <color indexed="8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BDEDE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0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6" borderId="0" xfId="2" applyFont="1" applyFill="1" applyAlignment="1">
      <alignment horizontal="center" vertical="center" wrapText="1" readingOrder="1"/>
    </xf>
    <xf numFmtId="0" fontId="5" fillId="7" borderId="0" xfId="2" applyFont="1" applyFill="1" applyAlignment="1">
      <alignment horizontal="left" vertical="center" wrapText="1" readingOrder="1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7" fillId="0" borderId="0" xfId="2" applyNumberFormat="1" applyFont="1" applyAlignment="1">
      <alignment horizontal="center"/>
    </xf>
    <xf numFmtId="0" fontId="5" fillId="7" borderId="4" xfId="2" applyFont="1" applyFill="1" applyBorder="1" applyAlignment="1">
      <alignment horizontal="left" vertical="center" wrapText="1" readingOrder="1"/>
    </xf>
    <xf numFmtId="0" fontId="0" fillId="0" borderId="1" xfId="0" applyBorder="1"/>
    <xf numFmtId="164" fontId="9" fillId="9" borderId="5" xfId="0" applyNumberFormat="1" applyFont="1" applyFill="1" applyBorder="1" applyAlignment="1" applyProtection="1">
      <alignment horizontal="center" vertical="center" wrapText="1" readingOrder="1"/>
      <protection hidden="1"/>
    </xf>
    <xf numFmtId="0" fontId="9" fillId="10" borderId="1" xfId="0" applyFont="1" applyFill="1" applyBorder="1" applyAlignment="1" applyProtection="1">
      <alignment horizontal="center" vertical="center" wrapText="1" readingOrder="1"/>
      <protection hidden="1"/>
    </xf>
    <xf numFmtId="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/>
    </xf>
    <xf numFmtId="0" fontId="0" fillId="11" borderId="7" xfId="0" applyFill="1" applyBorder="1" applyAlignment="1">
      <alignment horizontal="left"/>
    </xf>
    <xf numFmtId="0" fontId="0" fillId="12" borderId="0" xfId="0" applyFill="1" applyAlignment="1">
      <alignment horizontal="center"/>
    </xf>
    <xf numFmtId="0" fontId="9" fillId="10" borderId="5" xfId="0" applyFont="1" applyFill="1" applyBorder="1" applyAlignment="1" applyProtection="1">
      <alignment horizontal="center" vertical="center" wrapText="1" readingOrder="1"/>
      <protection hidden="1"/>
    </xf>
    <xf numFmtId="3" fontId="10" fillId="0" borderId="5" xfId="0" applyNumberFormat="1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 wrapText="1" readingOrder="1"/>
      <protection hidden="1"/>
    </xf>
    <xf numFmtId="0" fontId="13" fillId="0" borderId="0" xfId="0" applyFont="1"/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8" xfId="0" applyBorder="1"/>
    <xf numFmtId="164" fontId="12" fillId="0" borderId="0" xfId="0" applyNumberFormat="1" applyFont="1" applyAlignment="1" applyProtection="1">
      <alignment vertical="center" wrapText="1" readingOrder="1"/>
      <protection hidden="1"/>
    </xf>
    <xf numFmtId="0" fontId="0" fillId="0" borderId="3" xfId="0" applyBorder="1"/>
    <xf numFmtId="0" fontId="0" fillId="0" borderId="0" xfId="0" pivotButton="1"/>
    <xf numFmtId="0" fontId="0" fillId="0" borderId="0" xfId="0" pivotButton="1" applyAlignment="1">
      <alignment horizontal="center"/>
    </xf>
    <xf numFmtId="164" fontId="9" fillId="9" borderId="1" xfId="0" applyNumberFormat="1" applyFont="1" applyFill="1" applyBorder="1" applyAlignment="1" applyProtection="1">
      <alignment horizontal="center" vertical="center" wrapText="1" readingOrder="1"/>
      <protection hidden="1"/>
    </xf>
    <xf numFmtId="0" fontId="9" fillId="3" borderId="1" xfId="0" applyFont="1" applyFill="1" applyBorder="1" applyAlignment="1" applyProtection="1">
      <alignment horizontal="center" vertical="center" wrapText="1" readingOrder="1"/>
      <protection hidden="1"/>
    </xf>
    <xf numFmtId="0" fontId="0" fillId="15" borderId="1" xfId="0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164" fontId="9" fillId="14" borderId="5" xfId="0" applyNumberFormat="1" applyFont="1" applyFill="1" applyBorder="1" applyAlignment="1" applyProtection="1">
      <alignment horizontal="center" vertical="center" wrapText="1" readingOrder="1"/>
      <protection hidden="1"/>
    </xf>
    <xf numFmtId="164" fontId="9" fillId="14" borderId="6" xfId="0" applyNumberFormat="1" applyFont="1" applyFill="1" applyBorder="1" applyAlignment="1" applyProtection="1">
      <alignment horizontal="center" vertical="center" wrapText="1" readingOrder="1"/>
      <protection hidden="1"/>
    </xf>
    <xf numFmtId="164" fontId="12" fillId="0" borderId="0" xfId="0" applyNumberFormat="1" applyFont="1" applyAlignment="1" applyProtection="1">
      <alignment horizontal="center" vertical="center" wrapText="1" readingOrder="1"/>
      <protection hidden="1"/>
    </xf>
    <xf numFmtId="0" fontId="0" fillId="0" borderId="0" xfId="0" applyProtection="1">
      <protection hidden="1"/>
    </xf>
    <xf numFmtId="0" fontId="8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3">
    <cellStyle name="Normal" xfId="0" builtinId="0"/>
    <cellStyle name="Normal 3" xfId="2" xr:uid="{00000000-0005-0000-0000-000002000000}"/>
    <cellStyle name="Percent" xfId="1" builtinId="5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Bench Forecast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809539565666183E-2"/>
          <c:y val="0.14161007073864201"/>
          <c:w val="0.88916935953458853"/>
          <c:h val="0.68278630985754596"/>
        </c:manualLayout>
      </c:layout>
      <c:lineChart>
        <c:grouping val="standard"/>
        <c:varyColors val="0"/>
        <c:ser>
          <c:idx val="6"/>
          <c:order val="0"/>
          <c:tx>
            <c:strRef>
              <c:f>'Bench Forecast'!$A$10</c:f>
              <c:strCache>
                <c:ptCount val="1"/>
                <c:pt idx="0">
                  <c:v>Bench 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'Bench Forecast'!$B$1:$N$1</c:f>
              <c:strCache>
                <c:ptCount val="13"/>
                <c:pt idx="0">
                  <c:v>Wk 01</c:v>
                </c:pt>
                <c:pt idx="1">
                  <c:v>Wk 02</c:v>
                </c:pt>
                <c:pt idx="2">
                  <c:v>Wk 03</c:v>
                </c:pt>
                <c:pt idx="3">
                  <c:v>Wk 04</c:v>
                </c:pt>
                <c:pt idx="4">
                  <c:v>Wk 05</c:v>
                </c:pt>
                <c:pt idx="5">
                  <c:v>Wk 06</c:v>
                </c:pt>
                <c:pt idx="6">
                  <c:v>Wk 07</c:v>
                </c:pt>
                <c:pt idx="7">
                  <c:v>Wk 08</c:v>
                </c:pt>
                <c:pt idx="8">
                  <c:v>Wk 09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'Bench Forecast'!$B$10:$N$10</c:f>
              <c:numCache>
                <c:formatCode>0.00%</c:formatCode>
                <c:ptCount val="13"/>
                <c:pt idx="0">
                  <c:v>7.2528564331843015E-2</c:v>
                </c:pt>
                <c:pt idx="1">
                  <c:v>5.7128663686040734E-2</c:v>
                </c:pt>
                <c:pt idx="2">
                  <c:v>5.1664182811723795E-2</c:v>
                </c:pt>
                <c:pt idx="3">
                  <c:v>6.1599602583209144E-2</c:v>
                </c:pt>
                <c:pt idx="4">
                  <c:v>5.663189269746647E-2</c:v>
                </c:pt>
                <c:pt idx="5">
                  <c:v>6.6567312468951811E-2</c:v>
                </c:pt>
                <c:pt idx="6">
                  <c:v>7.6999503229011432E-2</c:v>
                </c:pt>
                <c:pt idx="7">
                  <c:v>7.0044709388971685E-2</c:v>
                </c:pt>
                <c:pt idx="8">
                  <c:v>7.1535022354694486E-2</c:v>
                </c:pt>
                <c:pt idx="9">
                  <c:v>9.1902632886239441E-2</c:v>
                </c:pt>
                <c:pt idx="10">
                  <c:v>9.2896174863387984E-2</c:v>
                </c:pt>
                <c:pt idx="11">
                  <c:v>9.3392945851962242E-2</c:v>
                </c:pt>
                <c:pt idx="12">
                  <c:v>9.2896174863387984E-2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33-1E4D-B787-10CF4698F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755551"/>
        <c:axId val="491757263"/>
      </c:lineChart>
      <c:catAx>
        <c:axId val="49175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57263"/>
        <c:crosses val="autoZero"/>
        <c:auto val="1"/>
        <c:lblAlgn val="ctr"/>
        <c:lblOffset val="100"/>
        <c:noMultiLvlLbl val="0"/>
      </c:catAx>
      <c:valAx>
        <c:axId val="4917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555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126388</xdr:colOff>
      <xdr:row>13</xdr:row>
      <xdr:rowOff>51508</xdr:rowOff>
    </xdr:from>
    <xdr:to>
      <xdr:col>10</xdr:col>
      <xdr:colOff>630306</xdr:colOff>
      <xdr:row>30</xdr:row>
      <xdr:rowOff>35180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 Trend"/>
      <sheetName val="Round Robin"/>
      <sheetName val="WTW"/>
      <sheetName val="FN Current Bench - Graph"/>
      <sheetName val="FN System Bench- Graph"/>
      <sheetName val="Historical Bench %"/>
      <sheetName val="YTY Data"/>
    </sheetNames>
    <sheetDataSet>
      <sheetData sheetId="0"/>
      <sheetData sheetId="1">
        <row r="4">
          <cell r="G4">
            <v>50</v>
          </cell>
        </row>
        <row r="5">
          <cell r="G5">
            <v>19</v>
          </cell>
        </row>
        <row r="6">
          <cell r="G6">
            <v>16</v>
          </cell>
        </row>
        <row r="7">
          <cell r="G7">
            <v>5</v>
          </cell>
        </row>
        <row r="8">
          <cell r="G8">
            <v>13</v>
          </cell>
        </row>
        <row r="9">
          <cell r="G9">
            <v>31</v>
          </cell>
        </row>
        <row r="10">
          <cell r="G10">
            <v>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 Trend"/>
      <sheetName val="Round Robin"/>
      <sheetName val="WTW"/>
      <sheetName val="FN Current Bench - Graph"/>
      <sheetName val="FN System Bench- Graph"/>
      <sheetName val="Historical Bench %"/>
      <sheetName val="YTY Data"/>
    </sheetNames>
    <sheetDataSet>
      <sheetData sheetId="0"/>
      <sheetData sheetId="1">
        <row r="4">
          <cell r="G4">
            <v>54</v>
          </cell>
        </row>
        <row r="5">
          <cell r="G5">
            <v>16</v>
          </cell>
        </row>
        <row r="6">
          <cell r="G6">
            <v>13</v>
          </cell>
        </row>
        <row r="7">
          <cell r="G7">
            <v>2</v>
          </cell>
        </row>
        <row r="8">
          <cell r="G8">
            <v>22</v>
          </cell>
        </row>
        <row r="9">
          <cell r="G9">
            <v>36</v>
          </cell>
        </row>
        <row r="10">
          <cell r="G10">
            <v>8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 Trend"/>
      <sheetName val="Round Robin"/>
      <sheetName val="WTW"/>
      <sheetName val="FN Current Bench - Graph"/>
      <sheetName val="FN System Bench- Graph"/>
      <sheetName val="Historical Bench %"/>
      <sheetName val="YTY Data"/>
    </sheetNames>
    <sheetDataSet>
      <sheetData sheetId="0"/>
      <sheetData sheetId="1">
        <row r="4">
          <cell r="N4">
            <v>49</v>
          </cell>
        </row>
        <row r="5">
          <cell r="N5">
            <v>17</v>
          </cell>
        </row>
        <row r="6">
          <cell r="N6">
            <v>14</v>
          </cell>
        </row>
        <row r="7">
          <cell r="N7">
            <v>3</v>
          </cell>
        </row>
        <row r="8">
          <cell r="N8">
            <v>23</v>
          </cell>
        </row>
        <row r="9">
          <cell r="N9">
            <v>21</v>
          </cell>
        </row>
        <row r="10">
          <cell r="N10">
            <v>10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 Trend"/>
      <sheetName val="Round Robin"/>
      <sheetName val="WTW"/>
      <sheetName val="FN Current Bench - Graph"/>
      <sheetName val="FN System Bench- Graph"/>
      <sheetName val="Historical Bench %"/>
      <sheetName val="YTY Data"/>
    </sheetNames>
    <sheetDataSet>
      <sheetData sheetId="0"/>
      <sheetData sheetId="1">
        <row r="4">
          <cell r="G4">
            <v>58</v>
          </cell>
        </row>
        <row r="5">
          <cell r="G5">
            <v>14</v>
          </cell>
        </row>
        <row r="6">
          <cell r="G6">
            <v>15</v>
          </cell>
        </row>
        <row r="7">
          <cell r="G7">
            <v>4</v>
          </cell>
        </row>
        <row r="8">
          <cell r="G8">
            <v>25</v>
          </cell>
        </row>
        <row r="9">
          <cell r="G9">
            <v>21</v>
          </cell>
        </row>
        <row r="10">
          <cell r="G10">
            <v>11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ro Naranjo" refreshedDate="46315.33094803241" createdVersion="8" refreshedVersion="8" minRefreshableVersion="3" recordCount="93" xr:uid="{D0168C38-7504-D94F-B652-797AB12573EA}">
  <cacheSource type="worksheet">
    <worksheetSource ref="N2:O95" sheet="Historic Bench Data"/>
  </cacheSource>
  <cacheFields count="2">
    <cacheField name="Wk" numFmtId="0">
      <sharedItems count="93">
        <s v="1Q WK 01"/>
        <s v="1Q WK 02"/>
        <s v="1Q WK 03"/>
        <s v="1Q WK 04"/>
        <s v="1Q WK 05"/>
        <s v="1Q WK 06"/>
        <s v="1Q WK 07"/>
        <s v="1Q WK 08"/>
        <s v="1Q WK 09"/>
        <s v="1Q WK 10"/>
        <s v="1Q WK 11"/>
        <s v="1Q WK 12"/>
        <s v="1Q WK 13"/>
        <s v="2Q WK 01"/>
        <s v="2Q WK 02"/>
        <s v="2Q WK 03"/>
        <s v="2Q WK 04"/>
        <s v="2Q WK 05"/>
        <s v="2Q WK 06"/>
        <s v="2Q WK 07"/>
        <s v="2Q WK 08"/>
        <s v="2Q WK 09"/>
        <s v="2Q WK 10"/>
        <s v="2Q WK 11"/>
        <s v="2Q WK 12"/>
        <s v="2Q WK 13"/>
        <s v="3Q WK 01"/>
        <s v="3Q WK 02"/>
        <s v="3Q WK 03"/>
        <s v="3Q WK 04"/>
        <s v="3Q WK 05"/>
        <s v="3Q WK 06"/>
        <s v="3Q WK 07"/>
        <s v="3Q WK 08"/>
        <s v="3Q WK 09"/>
        <s v="3Q WK 10"/>
        <s v="3Q WK 11"/>
        <s v="3Q WK 12"/>
        <s v="3Q WK 13"/>
        <s v="4Q WK 01"/>
        <s v="4Q WK 02"/>
        <s v="4Q WK 03"/>
        <s v="4Q WK 04"/>
        <s v="4Q WK 05"/>
        <s v="4Q WK 06"/>
        <s v="4Q WK 07"/>
        <s v="4Q WK 08"/>
        <s v="4Q WK 09"/>
        <s v="4Q WK 10"/>
        <s v="4Q WK 11"/>
        <s v="4Q WK 12"/>
        <s v="4Q WK 13"/>
        <s v="1Q26 WK 01"/>
        <s v="1Q26 WK 02"/>
        <s v="1Q26 WK 03"/>
        <s v="1Q26 WK 04"/>
        <s v="1Q26 WK 05"/>
        <s v="1Q26 WK 06"/>
        <s v="1Q26 WK07"/>
        <s v="1Q26 WK08"/>
        <s v="1Q26 WK09"/>
        <s v="1Q26 WK10"/>
        <s v="1Q26 WK11"/>
        <s v="1Q26 WK12"/>
        <s v="2Q26 WK1"/>
        <s v="2Q26 WK2"/>
        <s v="2Q26 WK3"/>
        <s v="2Q26 WK4"/>
        <s v="2Q26 WK5"/>
        <s v="2Q26 WK6"/>
        <s v="2Q26 WK7"/>
        <s v="2Q26 WK8"/>
        <s v="2Q26 WK9"/>
        <s v="2Q26 WK10"/>
        <s v="2Q26 WK11"/>
        <s v="2Q26 WK12"/>
        <s v="2Q26 WK13"/>
        <s v="3Q26 WK1"/>
        <s v="3Q26 WK2"/>
        <s v="3Q26 WK3"/>
        <s v="3Q26 WK4"/>
        <s v="3Q26 WK5"/>
        <s v="3Q26 WK6"/>
        <s v="3Q26 WK7"/>
        <s v="3Q26 WK08"/>
        <s v="3Q26 WK09"/>
        <s v="3Q26 WK10"/>
        <s v="3Q26 WK11"/>
        <s v="3Q26 WK12"/>
        <s v="3Q26 WK13"/>
        <s v="4Q26 WK01"/>
        <s v="4Q26 WK02"/>
        <s v="4Q26 WK03"/>
      </sharedItems>
    </cacheField>
    <cacheField name="NA CIC" numFmtId="0">
      <sharedItems containsSemiMixedTypes="0" containsString="0" containsNumber="1" containsInteger="1" minValue="73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ro Naranjo" refreshedDate="46315.331267824076" createdVersion="8" refreshedVersion="8" minRefreshableVersion="3" recordCount="3" xr:uid="{00000000-000A-0000-FFFF-FFFF9B000000}">
  <cacheSource type="worksheet">
    <worksheetSource ref="A30:N33" sheet="Q3 2025"/>
  </cacheSource>
  <cacheFields count="14">
    <cacheField name="Total Bench" numFmtId="0">
      <sharedItems count="3">
        <s v="Q3 26 Forecast"/>
        <s v="Q3 25 bench"/>
        <s v="Q3 Original Forecast"/>
      </sharedItems>
    </cacheField>
    <cacheField name="Wk 01" numFmtId="0">
      <sharedItems containsSemiMixedTypes="0" containsString="0" containsNumber="1" containsInteger="1" minValue="90" maxValue="159"/>
    </cacheField>
    <cacheField name="Wk 02" numFmtId="0">
      <sharedItems containsSemiMixedTypes="0" containsString="0" containsNumber="1" containsInteger="1" minValue="89" maxValue="161"/>
    </cacheField>
    <cacheField name="Wk 03" numFmtId="0">
      <sharedItems containsSemiMixedTypes="0" containsString="0" containsNumber="1" containsInteger="1" minValue="90" maxValue="154"/>
    </cacheField>
    <cacheField name="Wk 04" numFmtId="0">
      <sharedItems containsSemiMixedTypes="0" containsString="0" containsNumber="1" containsInteger="1" minValue="104" maxValue="156"/>
    </cacheField>
    <cacheField name="Wk 05" numFmtId="0">
      <sharedItems containsSemiMixedTypes="0" containsString="0" containsNumber="1" containsInteger="1" minValue="93" maxValue="152"/>
    </cacheField>
    <cacheField name="Wk 06" numFmtId="0">
      <sharedItems containsSemiMixedTypes="0" containsString="0" containsNumber="1" containsInteger="1" minValue="102" maxValue="165"/>
    </cacheField>
    <cacheField name="Wk 07" numFmtId="0">
      <sharedItems containsSemiMixedTypes="0" containsString="0" containsNumber="1" containsInteger="1" minValue="101" maxValue="175"/>
    </cacheField>
    <cacheField name="Wk 08" numFmtId="0">
      <sharedItems containsSemiMixedTypes="0" containsString="0" containsNumber="1" containsInteger="1" minValue="93" maxValue="176"/>
    </cacheField>
    <cacheField name="Wk 09" numFmtId="0">
      <sharedItems containsSemiMixedTypes="0" containsString="0" containsNumber="1" containsInteger="1" minValue="101" maxValue="171"/>
    </cacheField>
    <cacheField name="Wk 10" numFmtId="0">
      <sharedItems containsSemiMixedTypes="0" containsString="0" containsNumber="1" containsInteger="1" minValue="113" maxValue="203"/>
    </cacheField>
    <cacheField name="Wk 11" numFmtId="0">
      <sharedItems containsSemiMixedTypes="0" containsString="0" containsNumber="1" containsInteger="1" minValue="86" maxValue="215"/>
    </cacheField>
    <cacheField name="Wk 12" numFmtId="0">
      <sharedItems containsSemiMixedTypes="0" containsString="0" containsNumber="1" containsInteger="1" minValue="88" maxValue="214"/>
    </cacheField>
    <cacheField name="Wk 13" numFmtId="0">
      <sharedItems containsSemiMixedTypes="0" containsString="0" containsNumber="1" containsInteger="1" minValue="98" maxValue="2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n v="268"/>
  </r>
  <r>
    <x v="1"/>
    <n v="290"/>
  </r>
  <r>
    <x v="2"/>
    <n v="227"/>
  </r>
  <r>
    <x v="3"/>
    <n v="228"/>
  </r>
  <r>
    <x v="4"/>
    <n v="214"/>
  </r>
  <r>
    <x v="5"/>
    <n v="225"/>
  </r>
  <r>
    <x v="6"/>
    <n v="207"/>
  </r>
  <r>
    <x v="7"/>
    <n v="200"/>
  </r>
  <r>
    <x v="8"/>
    <n v="189"/>
  </r>
  <r>
    <x v="9"/>
    <n v="180"/>
  </r>
  <r>
    <x v="10"/>
    <n v="167"/>
  </r>
  <r>
    <x v="11"/>
    <n v="154"/>
  </r>
  <r>
    <x v="12"/>
    <n v="148"/>
  </r>
  <r>
    <x v="13"/>
    <n v="169"/>
  </r>
  <r>
    <x v="14"/>
    <n v="142"/>
  </r>
  <r>
    <x v="15"/>
    <n v="169"/>
  </r>
  <r>
    <x v="16"/>
    <n v="155"/>
  </r>
  <r>
    <x v="17"/>
    <n v="164"/>
  </r>
  <r>
    <x v="18"/>
    <n v="136"/>
  </r>
  <r>
    <x v="19"/>
    <n v="147"/>
  </r>
  <r>
    <x v="20"/>
    <n v="146"/>
  </r>
  <r>
    <x v="21"/>
    <n v="148"/>
  </r>
  <r>
    <x v="22"/>
    <n v="161"/>
  </r>
  <r>
    <x v="23"/>
    <n v="159"/>
  </r>
  <r>
    <x v="24"/>
    <n v="133"/>
  </r>
  <r>
    <x v="25"/>
    <n v="148"/>
  </r>
  <r>
    <x v="26"/>
    <n v="181"/>
  </r>
  <r>
    <x v="27"/>
    <n v="177"/>
  </r>
  <r>
    <x v="28"/>
    <n v="165"/>
  </r>
  <r>
    <x v="29"/>
    <n v="168"/>
  </r>
  <r>
    <x v="30"/>
    <n v="146"/>
  </r>
  <r>
    <x v="31"/>
    <n v="156"/>
  </r>
  <r>
    <x v="32"/>
    <n v="158"/>
  </r>
  <r>
    <x v="33"/>
    <n v="143"/>
  </r>
  <r>
    <x v="34"/>
    <n v="128"/>
  </r>
  <r>
    <x v="35"/>
    <n v="134"/>
  </r>
  <r>
    <x v="36"/>
    <n v="123"/>
  </r>
  <r>
    <x v="37"/>
    <n v="123"/>
  </r>
  <r>
    <x v="38"/>
    <n v="112"/>
  </r>
  <r>
    <x v="39"/>
    <n v="119"/>
  </r>
  <r>
    <x v="40"/>
    <n v="107"/>
  </r>
  <r>
    <x v="41"/>
    <n v="110"/>
  </r>
  <r>
    <x v="42"/>
    <n v="137"/>
  </r>
  <r>
    <x v="43"/>
    <n v="124"/>
  </r>
  <r>
    <x v="44"/>
    <n v="127"/>
  </r>
  <r>
    <x v="45"/>
    <n v="101"/>
  </r>
  <r>
    <x v="46"/>
    <n v="116"/>
  </r>
  <r>
    <x v="47"/>
    <n v="124"/>
  </r>
  <r>
    <x v="48"/>
    <n v="134"/>
  </r>
  <r>
    <x v="49"/>
    <n v="113"/>
  </r>
  <r>
    <x v="50"/>
    <n v="118"/>
  </r>
  <r>
    <x v="51"/>
    <n v="127"/>
  </r>
  <r>
    <x v="52"/>
    <n v="231"/>
  </r>
  <r>
    <x v="53"/>
    <n v="201"/>
  </r>
  <r>
    <x v="54"/>
    <n v="180"/>
  </r>
  <r>
    <x v="55"/>
    <n v="171"/>
  </r>
  <r>
    <x v="56"/>
    <n v="148"/>
  </r>
  <r>
    <x v="57"/>
    <n v="143"/>
  </r>
  <r>
    <x v="58"/>
    <n v="114"/>
  </r>
  <r>
    <x v="59"/>
    <n v="110"/>
  </r>
  <r>
    <x v="60"/>
    <n v="97"/>
  </r>
  <r>
    <x v="61"/>
    <n v="101"/>
  </r>
  <r>
    <x v="62"/>
    <n v="78"/>
  </r>
  <r>
    <x v="63"/>
    <n v="73"/>
  </r>
  <r>
    <x v="64"/>
    <n v="121"/>
  </r>
  <r>
    <x v="65"/>
    <n v="117"/>
  </r>
  <r>
    <x v="66"/>
    <n v="114"/>
  </r>
  <r>
    <x v="67"/>
    <n v="114"/>
  </r>
  <r>
    <x v="68"/>
    <n v="114"/>
  </r>
  <r>
    <x v="69"/>
    <n v="137"/>
  </r>
  <r>
    <x v="70"/>
    <n v="126"/>
  </r>
  <r>
    <x v="71"/>
    <n v="151"/>
  </r>
  <r>
    <x v="72"/>
    <n v="125"/>
  </r>
  <r>
    <x v="73"/>
    <n v="116"/>
  </r>
  <r>
    <x v="74"/>
    <n v="145"/>
  </r>
  <r>
    <x v="75"/>
    <n v="148"/>
  </r>
  <r>
    <x v="76"/>
    <n v="152"/>
  </r>
  <r>
    <x v="77"/>
    <n v="176"/>
  </r>
  <r>
    <x v="78"/>
    <n v="165"/>
  </r>
  <r>
    <x v="79"/>
    <n v="160"/>
  </r>
  <r>
    <x v="80"/>
    <n v="138"/>
  </r>
  <r>
    <x v="81"/>
    <n v="132"/>
  </r>
  <r>
    <x v="82"/>
    <n v="144"/>
  </r>
  <r>
    <x v="83"/>
    <n v="155"/>
  </r>
  <r>
    <x v="84"/>
    <n v="149"/>
  </r>
  <r>
    <x v="85"/>
    <n v="145"/>
  </r>
  <r>
    <x v="86"/>
    <n v="158"/>
  </r>
  <r>
    <x v="87"/>
    <n v="167"/>
  </r>
  <r>
    <x v="88"/>
    <n v="169"/>
  </r>
  <r>
    <x v="89"/>
    <n v="169"/>
  </r>
  <r>
    <x v="90"/>
    <n v="179"/>
  </r>
  <r>
    <x v="91"/>
    <n v="180"/>
  </r>
  <r>
    <x v="92"/>
    <n v="1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46"/>
    <n v="115"/>
    <n v="151"/>
    <n v="132"/>
    <n v="120"/>
    <n v="142"/>
    <n v="155"/>
    <n v="160"/>
    <n v="161"/>
    <n v="203"/>
    <n v="215"/>
    <n v="214"/>
    <n v="211"/>
  </r>
  <r>
    <x v="1"/>
    <n v="90"/>
    <n v="89"/>
    <n v="90"/>
    <n v="104"/>
    <n v="93"/>
    <n v="102"/>
    <n v="101"/>
    <n v="93"/>
    <n v="101"/>
    <n v="113"/>
    <n v="86"/>
    <n v="88"/>
    <n v="98"/>
  </r>
  <r>
    <x v="2"/>
    <n v="159"/>
    <n v="161"/>
    <n v="154"/>
    <n v="156"/>
    <n v="152"/>
    <n v="165"/>
    <n v="175"/>
    <n v="176"/>
    <n v="171"/>
    <n v="196"/>
    <n v="192"/>
    <n v="191"/>
    <n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65C3-3010-8D41-86BC-F04070C98C07}" name="PivotTable1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Q23:R117" firstHeaderRow="1" firstDataRow="1" firstDataCol="1"/>
  <pivotFields count="2"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dataField="1" showAll="0"/>
  </pivotFields>
  <rowFields count="1">
    <field x="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NA CIC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99" dataOnRows="1" applyNumberFormats="0" applyBorderFormats="0" applyFontFormats="0" applyPatternFormats="0" applyAlignmentFormats="0" applyWidthHeightFormats="1" dataCaption="Week " updatedVersion="8" minRefreshableVersion="3" useAutoFormatting="1" itemPrintTitles="1" createdVersion="8" indent="0" outline="1" outlineData="1" multipleFieldFilters="0" chartFormat="44">
  <location ref="A36:E50" firstHeaderRow="1" firstDataRow="2" firstDataCol="1"/>
  <pivotFields count="14"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4">
    <i>
      <x/>
    </i>
    <i>
      <x v="1"/>
    </i>
    <i>
      <x v="2"/>
    </i>
    <i t="grand">
      <x/>
    </i>
  </colItems>
  <dataFields count="13">
    <dataField name=" Wk 01" fld="1" baseField="0" baseItem="0"/>
    <dataField name=" Wk 02" fld="2" baseField="0" baseItem="0"/>
    <dataField name="  Wk 03" fld="3" baseField="0" baseItem="0"/>
    <dataField name="  Wk 04" fld="4" baseField="0" baseItem="0"/>
    <dataField name="  Wk 05" fld="5" baseField="0" baseItem="0"/>
    <dataField name="  Wk 06" fld="6" baseField="0" baseItem="0"/>
    <dataField name="  Wk 07" fld="7" baseField="0" baseItem="0"/>
    <dataField name="  Wk 08" fld="8" baseField="0" baseItem="0"/>
    <dataField name="  Wk 09" fld="9" baseField="0" baseItem="0"/>
    <dataField name="  Wk 10" fld="10" baseField="0" baseItem="0"/>
    <dataField name="  Wk 11" fld="11" baseField="0" baseItem="0"/>
    <dataField name="  Wk 12" fld="12" baseField="0" baseItem="0"/>
    <dataField name="  Wk 13" fld="13" baseField="0" baseItem="0"/>
  </dataFields>
  <formats count="6">
    <format dxfId="11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">
      <pivotArea outline="0" collapsedLevelsAreSubtotals="1" fieldPosition="0"/>
    </format>
    <format dxfId="9">
      <pivotArea field="0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Col="1" outline="0" fieldPosition="0"/>
    </format>
  </formats>
  <chartFormats count="8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0" format="101">
      <pivotArea type="data" outline="0" fieldPosition="0">
        <references count="2">
          <reference field="4294967294" count="1" selected="0">
            <x v="8"/>
          </reference>
          <reference field="0" count="1" selected="0">
            <x v="0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9"/>
          </reference>
          <reference field="0" count="1" selected="0">
            <x v="0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10"/>
          </reference>
          <reference field="0" count="1" selected="0">
            <x v="0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11"/>
          </reference>
          <reference field="0" count="1" selected="0">
            <x v="0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12"/>
          </reference>
          <reference field="0" count="1" selected="0">
            <x v="0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8"/>
          </reference>
          <reference field="0" count="1" selected="0">
            <x v="1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9"/>
          </reference>
          <reference field="0" count="1" selected="0">
            <x v="1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10"/>
          </reference>
          <reference field="0" count="1" selected="0">
            <x v="1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11"/>
          </reference>
          <reference field="0" count="1" selected="0">
            <x v="1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12"/>
          </reference>
          <reference field="0" count="1" selected="0">
            <x v="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39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12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9" format="12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9" format="123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39" format="124">
      <pivotArea type="data" outline="0" fieldPosition="0">
        <references count="2">
          <reference field="4294967294" count="1" selected="0">
            <x v="8"/>
          </reference>
          <reference field="0" count="1" selected="0">
            <x v="0"/>
          </reference>
        </references>
      </pivotArea>
    </chartFormat>
    <chartFormat chart="39" format="125">
      <pivotArea type="data" outline="0" fieldPosition="0">
        <references count="2">
          <reference field="4294967294" count="1" selected="0">
            <x v="9"/>
          </reference>
          <reference field="0" count="1" selected="0">
            <x v="0"/>
          </reference>
        </references>
      </pivotArea>
    </chartFormat>
    <chartFormat chart="39" format="126">
      <pivotArea type="data" outline="0" fieldPosition="0">
        <references count="2">
          <reference field="4294967294" count="1" selected="0">
            <x v="10"/>
          </reference>
          <reference field="0" count="1" selected="0">
            <x v="0"/>
          </reference>
        </references>
      </pivotArea>
    </chartFormat>
    <chartFormat chart="39" format="127">
      <pivotArea type="data" outline="0" fieldPosition="0">
        <references count="2">
          <reference field="4294967294" count="1" selected="0">
            <x v="11"/>
          </reference>
          <reference field="0" count="1" selected="0">
            <x v="0"/>
          </reference>
        </references>
      </pivotArea>
    </chartFormat>
    <chartFormat chart="39" format="128">
      <pivotArea type="data" outline="0" fieldPosition="0">
        <references count="2">
          <reference field="4294967294" count="1" selected="0">
            <x v="12"/>
          </reference>
          <reference field="0" count="1" selected="0">
            <x v="0"/>
          </reference>
        </references>
      </pivotArea>
    </chartFormat>
    <chartFormat chart="39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9" format="130">
      <pivotArea type="data" outline="0" fieldPosition="0">
        <references count="2">
          <reference field="4294967294" count="1" selected="0">
            <x v="8"/>
          </reference>
          <reference field="0" count="1" selected="0">
            <x v="1"/>
          </reference>
        </references>
      </pivotArea>
    </chartFormat>
    <chartFormat chart="39" format="131">
      <pivotArea type="data" outline="0" fieldPosition="0">
        <references count="2">
          <reference field="4294967294" count="1" selected="0">
            <x v="9"/>
          </reference>
          <reference field="0" count="1" selected="0">
            <x v="1"/>
          </reference>
        </references>
      </pivotArea>
    </chartFormat>
    <chartFormat chart="39" format="132">
      <pivotArea type="data" outline="0" fieldPosition="0">
        <references count="2">
          <reference field="4294967294" count="1" selected="0">
            <x v="10"/>
          </reference>
          <reference field="0" count="1" selected="0">
            <x v="1"/>
          </reference>
        </references>
      </pivotArea>
    </chartFormat>
    <chartFormat chart="39" format="133">
      <pivotArea type="data" outline="0" fieldPosition="0">
        <references count="2">
          <reference field="4294967294" count="1" selected="0">
            <x v="11"/>
          </reference>
          <reference field="0" count="1" selected="0">
            <x v="1"/>
          </reference>
        </references>
      </pivotArea>
    </chartFormat>
    <chartFormat chart="39" format="134">
      <pivotArea type="data" outline="0" fieldPosition="0">
        <references count="2">
          <reference field="4294967294" count="1" selected="0">
            <x v="12"/>
          </reference>
          <reference field="0" count="1" selected="0">
            <x v="1"/>
          </reference>
        </references>
      </pivotArea>
    </chartFormat>
    <chartFormat chart="39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9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9" format="13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9" format="138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9" format="139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39" format="140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39" format="141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4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14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0" format="145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40" format="146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40" format="147">
      <pivotArea type="data" outline="0" fieldPosition="0">
        <references count="2">
          <reference field="4294967294" count="1" selected="0">
            <x v="8"/>
          </reference>
          <reference field="0" count="1" selected="0">
            <x v="0"/>
          </reference>
        </references>
      </pivotArea>
    </chartFormat>
    <chartFormat chart="40" format="148">
      <pivotArea type="data" outline="0" fieldPosition="0">
        <references count="2">
          <reference field="4294967294" count="1" selected="0">
            <x v="9"/>
          </reference>
          <reference field="0" count="1" selected="0">
            <x v="0"/>
          </reference>
        </references>
      </pivotArea>
    </chartFormat>
    <chartFormat chart="40" format="149">
      <pivotArea type="data" outline="0" fieldPosition="0">
        <references count="2">
          <reference field="4294967294" count="1" selected="0">
            <x v="10"/>
          </reference>
          <reference field="0" count="1" selected="0">
            <x v="0"/>
          </reference>
        </references>
      </pivotArea>
    </chartFormat>
    <chartFormat chart="40" format="150">
      <pivotArea type="data" outline="0" fieldPosition="0">
        <references count="2">
          <reference field="4294967294" count="1" selected="0">
            <x v="11"/>
          </reference>
          <reference field="0" count="1" selected="0">
            <x v="0"/>
          </reference>
        </references>
      </pivotArea>
    </chartFormat>
    <chartFormat chart="40" format="151">
      <pivotArea type="data" outline="0" fieldPosition="0">
        <references count="2">
          <reference field="4294967294" count="1" selected="0">
            <x v="12"/>
          </reference>
          <reference field="0" count="1" selected="0">
            <x v="0"/>
          </reference>
        </references>
      </pivotArea>
    </chartFormat>
    <chartFormat chart="4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153">
      <pivotArea type="data" outline="0" fieldPosition="0">
        <references count="2">
          <reference field="4294967294" count="1" selected="0">
            <x v="8"/>
          </reference>
          <reference field="0" count="1" selected="0">
            <x v="1"/>
          </reference>
        </references>
      </pivotArea>
    </chartFormat>
    <chartFormat chart="40" format="154">
      <pivotArea type="data" outline="0" fieldPosition="0">
        <references count="2">
          <reference field="4294967294" count="1" selected="0">
            <x v="9"/>
          </reference>
          <reference field="0" count="1" selected="0">
            <x v="1"/>
          </reference>
        </references>
      </pivotArea>
    </chartFormat>
    <chartFormat chart="40" format="155">
      <pivotArea type="data" outline="0" fieldPosition="0">
        <references count="2">
          <reference field="4294967294" count="1" selected="0">
            <x v="10"/>
          </reference>
          <reference field="0" count="1" selected="0">
            <x v="1"/>
          </reference>
        </references>
      </pivotArea>
    </chartFormat>
    <chartFormat chart="40" format="156">
      <pivotArea type="data" outline="0" fieldPosition="0">
        <references count="2">
          <reference field="4294967294" count="1" selected="0">
            <x v="11"/>
          </reference>
          <reference field="0" count="1" selected="0">
            <x v="1"/>
          </reference>
        </references>
      </pivotArea>
    </chartFormat>
    <chartFormat chart="40" format="157">
      <pivotArea type="data" outline="0" fieldPosition="0">
        <references count="2">
          <reference field="4294967294" count="1" selected="0">
            <x v="12"/>
          </reference>
          <reference field="0" count="1" selected="0">
            <x v="1"/>
          </reference>
        </references>
      </pivotArea>
    </chartFormat>
    <chartFormat chart="40" format="1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0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0" format="16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0" format="16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40" format="162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40" format="163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40" format="164">
      <pivotArea type="data" outline="0" fieldPosition="0">
        <references count="2">
          <reference field="4294967294" count="1" selected="0">
            <x v="5"/>
          </reference>
          <reference field="0" count="1" selected="0">
            <x v="2"/>
          </reference>
        </references>
      </pivotArea>
    </chartFormat>
    <chartFormat chart="43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3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3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zoomScale="110" zoomScaleNormal="110" workbookViewId="0">
      <selection activeCell="D2" sqref="D2:D8"/>
    </sheetView>
  </sheetViews>
  <sheetFormatPr baseColWidth="10" defaultColWidth="10.5" defaultRowHeight="16" outlineLevelCol="1" x14ac:dyDescent="0.2"/>
  <cols>
    <col min="1" max="1" width="12.33203125" customWidth="1"/>
    <col min="2" max="2" width="8" style="1" customWidth="1" outlineLevel="1"/>
    <col min="3" max="3" width="9.6640625" style="1" customWidth="1" outlineLevel="1"/>
    <col min="4" max="4" width="10.83203125" style="1" customWidth="1" outlineLevel="1"/>
    <col min="5" max="14" width="10.5" style="1" customWidth="1" outlineLevel="1"/>
  </cols>
  <sheetData>
    <row r="1" spans="1:14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">
      <c r="A2" s="9" t="s">
        <v>14</v>
      </c>
      <c r="B2" s="12">
        <v>51</v>
      </c>
      <c r="C2" s="42">
        <v>39</v>
      </c>
      <c r="D2" s="42">
        <v>43</v>
      </c>
      <c r="E2" s="8">
        <v>46</v>
      </c>
      <c r="F2" s="8">
        <v>37</v>
      </c>
      <c r="G2" s="8">
        <v>44</v>
      </c>
      <c r="H2" s="8">
        <v>43</v>
      </c>
      <c r="I2" s="8">
        <v>38</v>
      </c>
      <c r="J2" s="8">
        <v>36</v>
      </c>
      <c r="K2" s="8">
        <v>49</v>
      </c>
      <c r="L2" s="8">
        <v>49</v>
      </c>
      <c r="M2" s="8">
        <v>49</v>
      </c>
      <c r="N2" s="8">
        <v>49</v>
      </c>
    </row>
    <row r="3" spans="1:14" x14ac:dyDescent="0.2">
      <c r="A3" s="9" t="s">
        <v>15</v>
      </c>
      <c r="B3" s="12">
        <v>5</v>
      </c>
      <c r="C3" s="42">
        <v>7</v>
      </c>
      <c r="D3" s="42">
        <v>5</v>
      </c>
      <c r="E3" s="11">
        <v>5</v>
      </c>
      <c r="F3" s="11">
        <v>3</v>
      </c>
      <c r="G3" s="11">
        <v>2</v>
      </c>
      <c r="H3" s="11">
        <v>2</v>
      </c>
      <c r="I3" s="11">
        <v>3</v>
      </c>
      <c r="J3" s="11">
        <v>4</v>
      </c>
      <c r="K3" s="11">
        <v>5</v>
      </c>
      <c r="L3" s="11">
        <v>5</v>
      </c>
      <c r="M3" s="11">
        <v>5</v>
      </c>
      <c r="N3" s="11">
        <v>5</v>
      </c>
    </row>
    <row r="4" spans="1:14" x14ac:dyDescent="0.2">
      <c r="A4" s="9" t="s">
        <v>16</v>
      </c>
      <c r="B4" s="12">
        <v>27</v>
      </c>
      <c r="C4" s="42">
        <v>23</v>
      </c>
      <c r="D4" s="42">
        <v>19</v>
      </c>
      <c r="E4" s="8">
        <v>18</v>
      </c>
      <c r="F4" s="8">
        <v>20</v>
      </c>
      <c r="G4" s="8">
        <v>26</v>
      </c>
      <c r="H4" s="8">
        <v>41</v>
      </c>
      <c r="I4" s="8">
        <v>28</v>
      </c>
      <c r="J4" s="8">
        <v>29</v>
      </c>
      <c r="K4" s="8">
        <v>33</v>
      </c>
      <c r="L4" s="8">
        <v>33</v>
      </c>
      <c r="M4" s="8">
        <v>33</v>
      </c>
      <c r="N4" s="8">
        <v>33</v>
      </c>
    </row>
    <row r="5" spans="1:14" x14ac:dyDescent="0.2">
      <c r="A5" s="9" t="s">
        <v>17</v>
      </c>
      <c r="B5" s="12">
        <v>24</v>
      </c>
      <c r="C5" s="42">
        <v>15</v>
      </c>
      <c r="D5" s="42">
        <v>10</v>
      </c>
      <c r="E5" s="11">
        <v>20</v>
      </c>
      <c r="F5" s="11">
        <v>20</v>
      </c>
      <c r="G5" s="11">
        <v>20</v>
      </c>
      <c r="H5" s="11">
        <v>23</v>
      </c>
      <c r="I5" s="11">
        <v>30</v>
      </c>
      <c r="J5" s="11">
        <v>30</v>
      </c>
      <c r="K5" s="11">
        <v>40</v>
      </c>
      <c r="L5" s="11">
        <v>40</v>
      </c>
      <c r="M5" s="11">
        <v>40</v>
      </c>
      <c r="N5" s="11">
        <v>40</v>
      </c>
    </row>
    <row r="6" spans="1:14" x14ac:dyDescent="0.2">
      <c r="A6" s="9" t="s">
        <v>18</v>
      </c>
      <c r="B6" s="12">
        <v>14</v>
      </c>
      <c r="C6" s="42">
        <v>11</v>
      </c>
      <c r="D6" s="42">
        <v>14</v>
      </c>
      <c r="E6" s="8">
        <v>11</v>
      </c>
      <c r="F6" s="8">
        <v>11</v>
      </c>
      <c r="G6" s="8">
        <v>16</v>
      </c>
      <c r="H6" s="8">
        <v>15</v>
      </c>
      <c r="I6" s="8">
        <v>10</v>
      </c>
      <c r="J6" s="8">
        <v>10</v>
      </c>
      <c r="K6" s="8">
        <v>13</v>
      </c>
      <c r="L6" s="8">
        <v>14</v>
      </c>
      <c r="M6" s="8">
        <v>15</v>
      </c>
      <c r="N6" s="8">
        <v>15</v>
      </c>
    </row>
    <row r="7" spans="1:14" x14ac:dyDescent="0.2">
      <c r="A7" s="9" t="s">
        <v>19</v>
      </c>
      <c r="B7" s="12">
        <v>12</v>
      </c>
      <c r="C7" s="42">
        <v>9</v>
      </c>
      <c r="D7" s="42">
        <v>4</v>
      </c>
      <c r="E7" s="11">
        <v>10</v>
      </c>
      <c r="F7" s="11">
        <v>9</v>
      </c>
      <c r="G7" s="11">
        <v>11</v>
      </c>
      <c r="H7" s="11">
        <v>12</v>
      </c>
      <c r="I7" s="11">
        <v>13</v>
      </c>
      <c r="J7" s="11">
        <v>13</v>
      </c>
      <c r="K7" s="11">
        <v>14</v>
      </c>
      <c r="L7" s="11">
        <v>14</v>
      </c>
      <c r="M7" s="11">
        <v>14</v>
      </c>
      <c r="N7" s="11">
        <v>12</v>
      </c>
    </row>
    <row r="8" spans="1:14" x14ac:dyDescent="0.2">
      <c r="A8" s="9" t="s">
        <v>20</v>
      </c>
      <c r="B8" s="12">
        <v>13</v>
      </c>
      <c r="C8" s="42">
        <v>11</v>
      </c>
      <c r="D8" s="42">
        <v>9</v>
      </c>
      <c r="E8" s="8">
        <v>14</v>
      </c>
      <c r="F8" s="8">
        <v>14</v>
      </c>
      <c r="G8" s="8">
        <v>15</v>
      </c>
      <c r="H8" s="8">
        <v>19</v>
      </c>
      <c r="I8" s="8">
        <v>19</v>
      </c>
      <c r="J8" s="8">
        <v>22</v>
      </c>
      <c r="K8" s="8">
        <v>31</v>
      </c>
      <c r="L8" s="8">
        <v>32</v>
      </c>
      <c r="M8" s="8">
        <v>32</v>
      </c>
      <c r="N8" s="8">
        <v>33</v>
      </c>
    </row>
    <row r="9" spans="1:14" x14ac:dyDescent="0.2">
      <c r="A9" s="2" t="s">
        <v>21</v>
      </c>
      <c r="B9" s="6">
        <f t="shared" ref="B9:N9" si="0">SUM(B2:B8)</f>
        <v>146</v>
      </c>
      <c r="C9" s="6">
        <f t="shared" si="0"/>
        <v>115</v>
      </c>
      <c r="D9" s="6">
        <f t="shared" si="0"/>
        <v>104</v>
      </c>
      <c r="E9" s="6">
        <f t="shared" si="0"/>
        <v>124</v>
      </c>
      <c r="F9" s="6">
        <f t="shared" si="0"/>
        <v>114</v>
      </c>
      <c r="G9" s="6">
        <f t="shared" si="0"/>
        <v>134</v>
      </c>
      <c r="H9" s="6">
        <f t="shared" si="0"/>
        <v>155</v>
      </c>
      <c r="I9" s="6">
        <f t="shared" si="0"/>
        <v>141</v>
      </c>
      <c r="J9" s="6">
        <f t="shared" si="0"/>
        <v>144</v>
      </c>
      <c r="K9" s="6">
        <f t="shared" si="0"/>
        <v>185</v>
      </c>
      <c r="L9" s="6">
        <f t="shared" si="0"/>
        <v>187</v>
      </c>
      <c r="M9" s="6">
        <f t="shared" si="0"/>
        <v>188</v>
      </c>
      <c r="N9" s="6">
        <f t="shared" si="0"/>
        <v>187</v>
      </c>
    </row>
    <row r="10" spans="1:14" x14ac:dyDescent="0.2">
      <c r="A10" s="2" t="s">
        <v>22</v>
      </c>
      <c r="B10" s="7">
        <f t="shared" ref="B10:N10" si="1">+B9/$B$11</f>
        <v>7.2528564331843015E-2</v>
      </c>
      <c r="C10" s="7">
        <f t="shared" si="1"/>
        <v>5.7128663686040734E-2</v>
      </c>
      <c r="D10" s="7">
        <f t="shared" si="1"/>
        <v>5.1664182811723795E-2</v>
      </c>
      <c r="E10" s="7">
        <f t="shared" si="1"/>
        <v>6.1599602583209144E-2</v>
      </c>
      <c r="F10" s="7">
        <f t="shared" si="1"/>
        <v>5.663189269746647E-2</v>
      </c>
      <c r="G10" s="7">
        <f t="shared" si="1"/>
        <v>6.6567312468951811E-2</v>
      </c>
      <c r="H10" s="7">
        <f t="shared" si="1"/>
        <v>7.6999503229011432E-2</v>
      </c>
      <c r="I10" s="7">
        <f t="shared" si="1"/>
        <v>7.0044709388971685E-2</v>
      </c>
      <c r="J10" s="7">
        <f t="shared" si="1"/>
        <v>7.1535022354694486E-2</v>
      </c>
      <c r="K10" s="7">
        <f t="shared" si="1"/>
        <v>9.1902632886239441E-2</v>
      </c>
      <c r="L10" s="7">
        <f t="shared" si="1"/>
        <v>9.2896174863387984E-2</v>
      </c>
      <c r="M10" s="7">
        <f t="shared" si="1"/>
        <v>9.3392945851962242E-2</v>
      </c>
      <c r="N10" s="7">
        <f t="shared" si="1"/>
        <v>9.2896174863387984E-2</v>
      </c>
    </row>
    <row r="11" spans="1:14" x14ac:dyDescent="0.2">
      <c r="A11" s="3" t="s">
        <v>23</v>
      </c>
      <c r="B11" s="4">
        <v>2013</v>
      </c>
      <c r="C11" s="10"/>
    </row>
    <row r="16" spans="1:14" x14ac:dyDescent="0.2">
      <c r="N16"/>
    </row>
    <row r="17" spans="14:14" x14ac:dyDescent="0.2">
      <c r="N17"/>
    </row>
    <row r="18" spans="14:14" x14ac:dyDescent="0.2">
      <c r="N18"/>
    </row>
  </sheetData>
  <autoFilter ref="A1:N11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zoomScaleNormal="72" workbookViewId="0">
      <pane ySplit="1" topLeftCell="A66" activePane="bottomLeft" state="frozen"/>
      <selection pane="bottomLeft" activeCell="Q93" sqref="Q93"/>
    </sheetView>
  </sheetViews>
  <sheetFormatPr baseColWidth="10" defaultColWidth="10.6640625" defaultRowHeight="16" x14ac:dyDescent="0.2"/>
  <cols>
    <col min="1" max="1" width="5.1640625" bestFit="1" customWidth="1"/>
    <col min="2" max="2" width="7.1640625" bestFit="1" customWidth="1"/>
    <col min="3" max="3" width="6" bestFit="1" customWidth="1"/>
    <col min="5" max="5" width="10.6640625" bestFit="1" customWidth="1"/>
    <col min="6" max="6" width="7.1640625" bestFit="1" customWidth="1"/>
    <col min="7" max="7" width="6.5" bestFit="1" customWidth="1"/>
    <col min="8" max="8" width="6.33203125" bestFit="1" customWidth="1"/>
    <col min="9" max="9" width="7.1640625" bestFit="1" customWidth="1"/>
    <col min="10" max="10" width="6.83203125" bestFit="1" customWidth="1"/>
    <col min="11" max="11" width="6.5" bestFit="1" customWidth="1"/>
    <col min="17" max="17" width="13" bestFit="1" customWidth="1"/>
    <col min="18" max="18" width="13.1640625" bestFit="1" customWidth="1"/>
  </cols>
  <sheetData>
    <row r="1" spans="1:15" ht="32" customHeight="1" x14ac:dyDescent="0.2">
      <c r="A1" s="13" t="s">
        <v>24</v>
      </c>
      <c r="B1" s="13" t="s">
        <v>25</v>
      </c>
      <c r="C1" s="13" t="s">
        <v>26</v>
      </c>
      <c r="D1" s="13" t="s">
        <v>14</v>
      </c>
      <c r="E1" s="13" t="s">
        <v>27</v>
      </c>
      <c r="F1" s="13" t="s">
        <v>19</v>
      </c>
      <c r="G1" s="13" t="s">
        <v>15</v>
      </c>
      <c r="H1" s="13" t="s">
        <v>17</v>
      </c>
      <c r="I1" s="13" t="s">
        <v>20</v>
      </c>
      <c r="J1" s="13" t="s">
        <v>16</v>
      </c>
      <c r="K1" s="13" t="s">
        <v>28</v>
      </c>
      <c r="L1" s="13" t="s">
        <v>29</v>
      </c>
    </row>
    <row r="2" spans="1:15" x14ac:dyDescent="0.2">
      <c r="A2" s="14">
        <v>2025</v>
      </c>
      <c r="B2" s="14" t="s">
        <v>30</v>
      </c>
      <c r="C2" s="14" t="s">
        <v>31</v>
      </c>
      <c r="D2" s="15">
        <v>88</v>
      </c>
      <c r="E2" s="15">
        <v>19</v>
      </c>
      <c r="F2" s="15">
        <v>46</v>
      </c>
      <c r="G2" s="15">
        <v>7</v>
      </c>
      <c r="H2" s="15">
        <v>42</v>
      </c>
      <c r="I2" s="15">
        <v>49</v>
      </c>
      <c r="J2" s="15">
        <v>17</v>
      </c>
      <c r="K2" s="15">
        <f t="shared" ref="K2:K32" si="0">SUM(D2:J2)</f>
        <v>268</v>
      </c>
      <c r="L2" t="str">
        <f t="shared" ref="L2:L33" si="1">+B2&amp;" "&amp;C2</f>
        <v>1Q WK 01</v>
      </c>
      <c r="N2" t="s">
        <v>29</v>
      </c>
      <c r="O2" t="s">
        <v>28</v>
      </c>
    </row>
    <row r="3" spans="1:15" x14ac:dyDescent="0.2">
      <c r="A3" s="14">
        <v>2025</v>
      </c>
      <c r="B3" s="14" t="s">
        <v>30</v>
      </c>
      <c r="C3" s="14" t="s">
        <v>32</v>
      </c>
      <c r="D3" s="15">
        <v>117</v>
      </c>
      <c r="E3" s="15">
        <v>15</v>
      </c>
      <c r="F3" s="15">
        <v>32</v>
      </c>
      <c r="G3" s="15">
        <v>5</v>
      </c>
      <c r="H3" s="15">
        <v>50</v>
      </c>
      <c r="I3" s="15">
        <v>57</v>
      </c>
      <c r="J3" s="15">
        <v>14</v>
      </c>
      <c r="K3" s="15">
        <f t="shared" si="0"/>
        <v>290</v>
      </c>
      <c r="L3" t="str">
        <f t="shared" si="1"/>
        <v>1Q WK 02</v>
      </c>
      <c r="N3" t="s">
        <v>33</v>
      </c>
      <c r="O3">
        <v>268</v>
      </c>
    </row>
    <row r="4" spans="1:15" x14ac:dyDescent="0.2">
      <c r="A4" s="14">
        <v>2025</v>
      </c>
      <c r="B4" s="14" t="s">
        <v>30</v>
      </c>
      <c r="C4" s="14" t="s">
        <v>34</v>
      </c>
      <c r="D4" s="15">
        <v>84</v>
      </c>
      <c r="E4" s="15">
        <v>13</v>
      </c>
      <c r="F4" s="15">
        <v>29</v>
      </c>
      <c r="G4" s="15">
        <v>5</v>
      </c>
      <c r="H4" s="15">
        <v>42</v>
      </c>
      <c r="I4" s="15">
        <v>38</v>
      </c>
      <c r="J4" s="15">
        <v>16</v>
      </c>
      <c r="K4" s="15">
        <f t="shared" si="0"/>
        <v>227</v>
      </c>
      <c r="L4" t="str">
        <f t="shared" si="1"/>
        <v>1Q WK 03</v>
      </c>
      <c r="N4" t="s">
        <v>35</v>
      </c>
      <c r="O4">
        <v>290</v>
      </c>
    </row>
    <row r="5" spans="1:15" x14ac:dyDescent="0.2">
      <c r="A5" s="14">
        <v>2025</v>
      </c>
      <c r="B5" s="14" t="s">
        <v>30</v>
      </c>
      <c r="C5" s="14" t="s">
        <v>36</v>
      </c>
      <c r="D5" s="15">
        <v>83</v>
      </c>
      <c r="E5" s="15">
        <v>13</v>
      </c>
      <c r="F5" s="15">
        <v>31</v>
      </c>
      <c r="G5" s="15">
        <v>6</v>
      </c>
      <c r="H5" s="15">
        <v>39</v>
      </c>
      <c r="I5" s="15">
        <v>39</v>
      </c>
      <c r="J5" s="15">
        <v>17</v>
      </c>
      <c r="K5" s="15">
        <f t="shared" si="0"/>
        <v>228</v>
      </c>
      <c r="L5" t="str">
        <f t="shared" si="1"/>
        <v>1Q WK 04</v>
      </c>
      <c r="N5" t="s">
        <v>37</v>
      </c>
      <c r="O5">
        <v>227</v>
      </c>
    </row>
    <row r="6" spans="1:15" x14ac:dyDescent="0.2">
      <c r="A6" s="14">
        <v>2025</v>
      </c>
      <c r="B6" s="14" t="s">
        <v>30</v>
      </c>
      <c r="C6" s="14" t="s">
        <v>38</v>
      </c>
      <c r="D6" s="15">
        <v>77</v>
      </c>
      <c r="E6" s="15">
        <v>15</v>
      </c>
      <c r="F6" s="15">
        <v>29</v>
      </c>
      <c r="G6" s="15">
        <v>5</v>
      </c>
      <c r="H6" s="15">
        <v>37</v>
      </c>
      <c r="I6" s="15">
        <v>34</v>
      </c>
      <c r="J6" s="15">
        <v>17</v>
      </c>
      <c r="K6" s="15">
        <f t="shared" si="0"/>
        <v>214</v>
      </c>
      <c r="L6" t="str">
        <f t="shared" si="1"/>
        <v>1Q WK 05</v>
      </c>
      <c r="N6" t="s">
        <v>39</v>
      </c>
      <c r="O6">
        <v>228</v>
      </c>
    </row>
    <row r="7" spans="1:15" x14ac:dyDescent="0.2">
      <c r="A7" s="14">
        <v>2025</v>
      </c>
      <c r="B7" s="14" t="s">
        <v>30</v>
      </c>
      <c r="C7" s="14" t="s">
        <v>40</v>
      </c>
      <c r="D7" s="15">
        <v>83</v>
      </c>
      <c r="E7" s="15">
        <v>22</v>
      </c>
      <c r="F7" s="15">
        <v>29</v>
      </c>
      <c r="G7" s="15">
        <v>8</v>
      </c>
      <c r="H7" s="15">
        <v>34</v>
      </c>
      <c r="I7" s="15">
        <v>32</v>
      </c>
      <c r="J7" s="15">
        <v>17</v>
      </c>
      <c r="K7" s="15">
        <f t="shared" si="0"/>
        <v>225</v>
      </c>
      <c r="L7" t="str">
        <f t="shared" si="1"/>
        <v>1Q WK 06</v>
      </c>
      <c r="N7" t="s">
        <v>41</v>
      </c>
      <c r="O7">
        <v>214</v>
      </c>
    </row>
    <row r="8" spans="1:15" x14ac:dyDescent="0.2">
      <c r="A8" s="14">
        <v>2025</v>
      </c>
      <c r="B8" s="14" t="s">
        <v>30</v>
      </c>
      <c r="C8" s="14" t="s">
        <v>42</v>
      </c>
      <c r="D8" s="15">
        <v>78</v>
      </c>
      <c r="E8" s="15">
        <v>22</v>
      </c>
      <c r="F8" s="15">
        <v>25</v>
      </c>
      <c r="G8" s="15">
        <v>8</v>
      </c>
      <c r="H8" s="15">
        <v>25</v>
      </c>
      <c r="I8" s="15">
        <v>32</v>
      </c>
      <c r="J8" s="15">
        <v>17</v>
      </c>
      <c r="K8" s="15">
        <f t="shared" si="0"/>
        <v>207</v>
      </c>
      <c r="L8" t="str">
        <f t="shared" si="1"/>
        <v>1Q WK 07</v>
      </c>
      <c r="N8" t="s">
        <v>43</v>
      </c>
      <c r="O8">
        <v>225</v>
      </c>
    </row>
    <row r="9" spans="1:15" x14ac:dyDescent="0.2">
      <c r="A9" s="14">
        <v>2025</v>
      </c>
      <c r="B9" s="14" t="s">
        <v>30</v>
      </c>
      <c r="C9" s="14" t="s">
        <v>44</v>
      </c>
      <c r="D9" s="15">
        <v>75</v>
      </c>
      <c r="E9" s="15">
        <v>22</v>
      </c>
      <c r="F9" s="15">
        <v>18</v>
      </c>
      <c r="G9" s="15">
        <v>9</v>
      </c>
      <c r="H9" s="15">
        <v>27</v>
      </c>
      <c r="I9" s="15">
        <v>36</v>
      </c>
      <c r="J9" s="15">
        <v>13</v>
      </c>
      <c r="K9" s="15">
        <f t="shared" si="0"/>
        <v>200</v>
      </c>
      <c r="L9" t="str">
        <f t="shared" si="1"/>
        <v>1Q WK 08</v>
      </c>
      <c r="N9" t="s">
        <v>45</v>
      </c>
      <c r="O9">
        <v>207</v>
      </c>
    </row>
    <row r="10" spans="1:15" x14ac:dyDescent="0.2">
      <c r="A10" s="14">
        <v>2025</v>
      </c>
      <c r="B10" s="14" t="s">
        <v>30</v>
      </c>
      <c r="C10" s="14" t="s">
        <v>46</v>
      </c>
      <c r="D10" s="15">
        <v>63</v>
      </c>
      <c r="E10" s="15">
        <v>24</v>
      </c>
      <c r="F10" s="15">
        <v>16</v>
      </c>
      <c r="G10" s="15">
        <v>10</v>
      </c>
      <c r="H10" s="15">
        <v>30</v>
      </c>
      <c r="I10" s="15">
        <v>34</v>
      </c>
      <c r="J10" s="15">
        <v>12</v>
      </c>
      <c r="K10" s="15">
        <f t="shared" si="0"/>
        <v>189</v>
      </c>
      <c r="L10" t="str">
        <f t="shared" si="1"/>
        <v>1Q WK 09</v>
      </c>
      <c r="N10" t="s">
        <v>47</v>
      </c>
      <c r="O10">
        <v>200</v>
      </c>
    </row>
    <row r="11" spans="1:15" x14ac:dyDescent="0.2">
      <c r="A11" s="14">
        <v>2025</v>
      </c>
      <c r="B11" s="14" t="s">
        <v>30</v>
      </c>
      <c r="C11" s="14" t="s">
        <v>48</v>
      </c>
      <c r="D11" s="15">
        <v>63</v>
      </c>
      <c r="E11" s="15">
        <v>23</v>
      </c>
      <c r="F11" s="15">
        <v>14</v>
      </c>
      <c r="G11" s="15">
        <v>9</v>
      </c>
      <c r="H11" s="15">
        <v>28</v>
      </c>
      <c r="I11" s="15">
        <v>31</v>
      </c>
      <c r="J11" s="15">
        <v>12</v>
      </c>
      <c r="K11" s="15">
        <f t="shared" si="0"/>
        <v>180</v>
      </c>
      <c r="L11" t="str">
        <f t="shared" si="1"/>
        <v>1Q WK 10</v>
      </c>
      <c r="N11" t="s">
        <v>49</v>
      </c>
      <c r="O11">
        <v>189</v>
      </c>
    </row>
    <row r="12" spans="1:15" x14ac:dyDescent="0.2">
      <c r="A12" s="14">
        <v>2025</v>
      </c>
      <c r="B12" s="14" t="s">
        <v>30</v>
      </c>
      <c r="C12" s="14" t="s">
        <v>50</v>
      </c>
      <c r="D12" s="15">
        <v>60</v>
      </c>
      <c r="E12" s="15">
        <v>19</v>
      </c>
      <c r="F12" s="15">
        <v>11</v>
      </c>
      <c r="G12" s="15">
        <v>9</v>
      </c>
      <c r="H12" s="15">
        <v>23</v>
      </c>
      <c r="I12" s="15">
        <v>32</v>
      </c>
      <c r="J12" s="15">
        <v>13</v>
      </c>
      <c r="K12" s="15">
        <f t="shared" si="0"/>
        <v>167</v>
      </c>
      <c r="L12" t="str">
        <f t="shared" si="1"/>
        <v>1Q WK 11</v>
      </c>
      <c r="N12" t="s">
        <v>51</v>
      </c>
      <c r="O12">
        <v>180</v>
      </c>
    </row>
    <row r="13" spans="1:15" x14ac:dyDescent="0.2">
      <c r="A13" s="14">
        <v>2025</v>
      </c>
      <c r="B13" s="14" t="s">
        <v>30</v>
      </c>
      <c r="C13" s="14" t="s">
        <v>52</v>
      </c>
      <c r="D13" s="15">
        <v>51</v>
      </c>
      <c r="E13" s="15">
        <v>20</v>
      </c>
      <c r="F13" s="15">
        <v>8</v>
      </c>
      <c r="G13" s="15">
        <v>8</v>
      </c>
      <c r="H13" s="15">
        <v>22</v>
      </c>
      <c r="I13" s="15">
        <v>32</v>
      </c>
      <c r="J13" s="15">
        <v>13</v>
      </c>
      <c r="K13" s="15">
        <f t="shared" si="0"/>
        <v>154</v>
      </c>
      <c r="L13" t="str">
        <f t="shared" si="1"/>
        <v>1Q WK 12</v>
      </c>
      <c r="N13" t="s">
        <v>53</v>
      </c>
      <c r="O13">
        <v>167</v>
      </c>
    </row>
    <row r="14" spans="1:15" x14ac:dyDescent="0.2">
      <c r="A14" s="14">
        <v>2025</v>
      </c>
      <c r="B14" s="14" t="s">
        <v>30</v>
      </c>
      <c r="C14" s="14" t="s">
        <v>54</v>
      </c>
      <c r="D14" s="15">
        <v>51</v>
      </c>
      <c r="E14" s="15">
        <v>17</v>
      </c>
      <c r="F14" s="15">
        <v>8</v>
      </c>
      <c r="G14" s="15">
        <v>7</v>
      </c>
      <c r="H14" s="15">
        <v>19</v>
      </c>
      <c r="I14" s="15">
        <v>32</v>
      </c>
      <c r="J14" s="15">
        <v>14</v>
      </c>
      <c r="K14" s="15">
        <f t="shared" si="0"/>
        <v>148</v>
      </c>
      <c r="L14" t="str">
        <f t="shared" si="1"/>
        <v>1Q WK 13</v>
      </c>
      <c r="N14" t="s">
        <v>55</v>
      </c>
      <c r="O14">
        <v>154</v>
      </c>
    </row>
    <row r="15" spans="1:15" x14ac:dyDescent="0.2">
      <c r="A15" s="14">
        <v>2025</v>
      </c>
      <c r="B15" s="14" t="s">
        <v>56</v>
      </c>
      <c r="C15" s="14" t="s">
        <v>31</v>
      </c>
      <c r="D15" s="15">
        <v>55</v>
      </c>
      <c r="E15" s="15">
        <v>22</v>
      </c>
      <c r="F15" s="15">
        <v>20</v>
      </c>
      <c r="G15" s="15">
        <v>6</v>
      </c>
      <c r="H15" s="15">
        <v>20</v>
      </c>
      <c r="I15" s="15">
        <v>30</v>
      </c>
      <c r="J15" s="15">
        <v>16</v>
      </c>
      <c r="K15" s="15">
        <f t="shared" si="0"/>
        <v>169</v>
      </c>
      <c r="L15" t="str">
        <f t="shared" si="1"/>
        <v>2Q WK 01</v>
      </c>
      <c r="N15" t="s">
        <v>57</v>
      </c>
      <c r="O15">
        <v>148</v>
      </c>
    </row>
    <row r="16" spans="1:15" x14ac:dyDescent="0.2">
      <c r="A16" s="14">
        <v>2025</v>
      </c>
      <c r="B16" s="14" t="s">
        <v>56</v>
      </c>
      <c r="C16" s="14" t="s">
        <v>32</v>
      </c>
      <c r="D16" s="15">
        <v>47</v>
      </c>
      <c r="E16" s="15">
        <v>17</v>
      </c>
      <c r="F16" s="15">
        <v>14</v>
      </c>
      <c r="G16" s="15">
        <v>5</v>
      </c>
      <c r="H16" s="15">
        <v>18</v>
      </c>
      <c r="I16" s="15">
        <v>25</v>
      </c>
      <c r="J16" s="15">
        <v>16</v>
      </c>
      <c r="K16" s="15">
        <f t="shared" si="0"/>
        <v>142</v>
      </c>
      <c r="L16" t="str">
        <f t="shared" si="1"/>
        <v>2Q WK 02</v>
      </c>
      <c r="N16" t="s">
        <v>58</v>
      </c>
      <c r="O16">
        <v>169</v>
      </c>
    </row>
    <row r="17" spans="1:18" x14ac:dyDescent="0.2">
      <c r="A17" s="14">
        <v>2025</v>
      </c>
      <c r="B17" s="14" t="s">
        <v>56</v>
      </c>
      <c r="C17" s="14" t="s">
        <v>34</v>
      </c>
      <c r="D17" s="15">
        <v>55</v>
      </c>
      <c r="E17" s="15">
        <v>16</v>
      </c>
      <c r="F17" s="15">
        <v>14</v>
      </c>
      <c r="G17" s="15">
        <v>6</v>
      </c>
      <c r="H17" s="15">
        <v>24</v>
      </c>
      <c r="I17" s="15">
        <v>37</v>
      </c>
      <c r="J17" s="15">
        <v>17</v>
      </c>
      <c r="K17" s="15">
        <f t="shared" si="0"/>
        <v>169</v>
      </c>
      <c r="L17" t="str">
        <f t="shared" si="1"/>
        <v>2Q WK 03</v>
      </c>
      <c r="N17" t="s">
        <v>59</v>
      </c>
      <c r="O17">
        <v>142</v>
      </c>
    </row>
    <row r="18" spans="1:18" x14ac:dyDescent="0.2">
      <c r="A18" s="14">
        <v>2025</v>
      </c>
      <c r="B18" s="14" t="s">
        <v>56</v>
      </c>
      <c r="C18" s="14" t="s">
        <v>36</v>
      </c>
      <c r="D18" s="15">
        <v>48</v>
      </c>
      <c r="E18" s="15">
        <v>18</v>
      </c>
      <c r="F18" s="15">
        <v>15</v>
      </c>
      <c r="G18" s="15">
        <v>5</v>
      </c>
      <c r="H18" s="15">
        <v>23</v>
      </c>
      <c r="I18" s="15">
        <v>33</v>
      </c>
      <c r="J18" s="15">
        <v>13</v>
      </c>
      <c r="K18" s="15">
        <f t="shared" si="0"/>
        <v>155</v>
      </c>
      <c r="L18" t="str">
        <f t="shared" si="1"/>
        <v>2Q WK 04</v>
      </c>
      <c r="N18" t="s">
        <v>60</v>
      </c>
      <c r="O18">
        <v>169</v>
      </c>
    </row>
    <row r="19" spans="1:18" x14ac:dyDescent="0.2">
      <c r="A19" s="14">
        <v>2025</v>
      </c>
      <c r="B19" s="14" t="s">
        <v>56</v>
      </c>
      <c r="C19" s="14" t="s">
        <v>38</v>
      </c>
      <c r="D19" s="15">
        <v>52</v>
      </c>
      <c r="E19" s="15">
        <v>18</v>
      </c>
      <c r="F19" s="15">
        <v>13</v>
      </c>
      <c r="G19" s="15">
        <v>8</v>
      </c>
      <c r="H19" s="15">
        <v>27</v>
      </c>
      <c r="I19" s="15">
        <v>33</v>
      </c>
      <c r="J19" s="15">
        <v>13</v>
      </c>
      <c r="K19" s="15">
        <f t="shared" si="0"/>
        <v>164</v>
      </c>
      <c r="L19" t="str">
        <f t="shared" si="1"/>
        <v>2Q WK 05</v>
      </c>
      <c r="N19" t="s">
        <v>61</v>
      </c>
      <c r="O19">
        <v>155</v>
      </c>
    </row>
    <row r="20" spans="1:18" x14ac:dyDescent="0.2">
      <c r="A20" s="14">
        <v>2025</v>
      </c>
      <c r="B20" s="14" t="s">
        <v>56</v>
      </c>
      <c r="C20" s="14" t="s">
        <v>40</v>
      </c>
      <c r="D20" s="15">
        <v>35</v>
      </c>
      <c r="E20" s="15">
        <v>18</v>
      </c>
      <c r="F20" s="15">
        <v>7</v>
      </c>
      <c r="G20" s="15">
        <v>6</v>
      </c>
      <c r="H20" s="15">
        <v>32</v>
      </c>
      <c r="I20" s="15">
        <v>23</v>
      </c>
      <c r="J20" s="15">
        <v>15</v>
      </c>
      <c r="K20" s="15">
        <f t="shared" si="0"/>
        <v>136</v>
      </c>
      <c r="L20" t="str">
        <f t="shared" si="1"/>
        <v>2Q WK 06</v>
      </c>
      <c r="N20" t="s">
        <v>62</v>
      </c>
      <c r="O20">
        <v>164</v>
      </c>
    </row>
    <row r="21" spans="1:18" x14ac:dyDescent="0.2">
      <c r="A21" s="14">
        <v>2025</v>
      </c>
      <c r="B21" s="14" t="s">
        <v>56</v>
      </c>
      <c r="C21" s="14" t="s">
        <v>42</v>
      </c>
      <c r="D21" s="15">
        <v>38</v>
      </c>
      <c r="E21" s="15">
        <v>19</v>
      </c>
      <c r="F21" s="15">
        <v>17</v>
      </c>
      <c r="G21" s="15">
        <v>6</v>
      </c>
      <c r="H21" s="15">
        <v>31</v>
      </c>
      <c r="I21" s="15">
        <v>20</v>
      </c>
      <c r="J21" s="15">
        <v>16</v>
      </c>
      <c r="K21" s="15">
        <f t="shared" si="0"/>
        <v>147</v>
      </c>
      <c r="L21" t="str">
        <f t="shared" si="1"/>
        <v>2Q WK 07</v>
      </c>
      <c r="N21" t="s">
        <v>63</v>
      </c>
      <c r="O21">
        <v>136</v>
      </c>
    </row>
    <row r="22" spans="1:18" x14ac:dyDescent="0.2">
      <c r="A22" s="14">
        <v>2025</v>
      </c>
      <c r="B22" s="14" t="s">
        <v>56</v>
      </c>
      <c r="C22" s="14" t="s">
        <v>44</v>
      </c>
      <c r="D22" s="16">
        <v>38</v>
      </c>
      <c r="E22" s="16">
        <v>18</v>
      </c>
      <c r="F22" s="16">
        <v>18</v>
      </c>
      <c r="G22" s="16">
        <v>9</v>
      </c>
      <c r="H22" s="16">
        <v>25</v>
      </c>
      <c r="I22" s="16">
        <v>22</v>
      </c>
      <c r="J22" s="16">
        <v>16</v>
      </c>
      <c r="K22" s="15">
        <f t="shared" si="0"/>
        <v>146</v>
      </c>
      <c r="L22" t="str">
        <f t="shared" si="1"/>
        <v>2Q WK 08</v>
      </c>
      <c r="N22" t="s">
        <v>64</v>
      </c>
      <c r="O22">
        <v>147</v>
      </c>
    </row>
    <row r="23" spans="1:18" x14ac:dyDescent="0.2">
      <c r="A23" s="14">
        <v>2025</v>
      </c>
      <c r="B23" s="14" t="s">
        <v>56</v>
      </c>
      <c r="C23" s="14" t="s">
        <v>46</v>
      </c>
      <c r="D23" s="16">
        <v>42</v>
      </c>
      <c r="E23" s="16">
        <v>16</v>
      </c>
      <c r="F23" s="16">
        <v>18</v>
      </c>
      <c r="G23" s="16">
        <v>10</v>
      </c>
      <c r="H23" s="16">
        <v>25</v>
      </c>
      <c r="I23" s="16">
        <v>19</v>
      </c>
      <c r="J23" s="16">
        <v>18</v>
      </c>
      <c r="K23" s="15">
        <f t="shared" si="0"/>
        <v>148</v>
      </c>
      <c r="L23" t="str">
        <f t="shared" si="1"/>
        <v>2Q WK 09</v>
      </c>
      <c r="N23" t="s">
        <v>65</v>
      </c>
      <c r="O23">
        <v>146</v>
      </c>
      <c r="Q23" s="38" t="s">
        <v>66</v>
      </c>
      <c r="R23" t="s">
        <v>67</v>
      </c>
    </row>
    <row r="24" spans="1:18" x14ac:dyDescent="0.2">
      <c r="A24" s="14">
        <v>2025</v>
      </c>
      <c r="B24" s="14" t="s">
        <v>56</v>
      </c>
      <c r="C24" s="14" t="s">
        <v>48</v>
      </c>
      <c r="D24" s="16">
        <v>50</v>
      </c>
      <c r="E24" s="16">
        <v>19</v>
      </c>
      <c r="F24" s="16">
        <v>21</v>
      </c>
      <c r="G24" s="16">
        <v>9</v>
      </c>
      <c r="H24" s="16">
        <v>24</v>
      </c>
      <c r="I24" s="16">
        <v>24</v>
      </c>
      <c r="J24" s="16">
        <v>14</v>
      </c>
      <c r="K24" s="15">
        <f t="shared" si="0"/>
        <v>161</v>
      </c>
      <c r="L24" t="str">
        <f t="shared" si="1"/>
        <v>2Q WK 10</v>
      </c>
      <c r="N24" t="s">
        <v>68</v>
      </c>
      <c r="O24">
        <v>148</v>
      </c>
      <c r="Q24" s="17" t="s">
        <v>33</v>
      </c>
      <c r="R24" s="50">
        <v>268</v>
      </c>
    </row>
    <row r="25" spans="1:18" x14ac:dyDescent="0.2">
      <c r="A25" s="14">
        <v>2025</v>
      </c>
      <c r="B25" s="14" t="s">
        <v>56</v>
      </c>
      <c r="C25" s="14" t="s">
        <v>50</v>
      </c>
      <c r="D25" s="16">
        <v>52</v>
      </c>
      <c r="E25" s="16">
        <v>18</v>
      </c>
      <c r="F25" s="16">
        <v>21</v>
      </c>
      <c r="G25" s="16">
        <v>8</v>
      </c>
      <c r="H25" s="16">
        <v>26</v>
      </c>
      <c r="I25" s="16">
        <v>22</v>
      </c>
      <c r="J25" s="16">
        <v>12</v>
      </c>
      <c r="K25" s="15">
        <f t="shared" si="0"/>
        <v>159</v>
      </c>
      <c r="L25" t="str">
        <f t="shared" si="1"/>
        <v>2Q WK 11</v>
      </c>
      <c r="N25" t="s">
        <v>69</v>
      </c>
      <c r="O25">
        <v>161</v>
      </c>
      <c r="Q25" s="17" t="s">
        <v>35</v>
      </c>
      <c r="R25" s="50">
        <v>290</v>
      </c>
    </row>
    <row r="26" spans="1:18" x14ac:dyDescent="0.2">
      <c r="A26" s="14">
        <v>2025</v>
      </c>
      <c r="B26" s="14" t="s">
        <v>56</v>
      </c>
      <c r="C26" s="14" t="s">
        <v>52</v>
      </c>
      <c r="D26" s="16">
        <v>40</v>
      </c>
      <c r="E26" s="16">
        <v>13</v>
      </c>
      <c r="F26" s="16">
        <v>20</v>
      </c>
      <c r="G26" s="16">
        <v>8</v>
      </c>
      <c r="H26" s="16">
        <v>21</v>
      </c>
      <c r="I26" s="16">
        <v>20</v>
      </c>
      <c r="J26" s="16">
        <v>11</v>
      </c>
      <c r="K26" s="15">
        <f t="shared" si="0"/>
        <v>133</v>
      </c>
      <c r="L26" t="str">
        <f t="shared" si="1"/>
        <v>2Q WK 12</v>
      </c>
      <c r="N26" t="s">
        <v>70</v>
      </c>
      <c r="O26">
        <v>159</v>
      </c>
      <c r="Q26" s="17" t="s">
        <v>37</v>
      </c>
      <c r="R26" s="50">
        <v>227</v>
      </c>
    </row>
    <row r="27" spans="1:18" x14ac:dyDescent="0.2">
      <c r="A27" s="14">
        <v>2025</v>
      </c>
      <c r="B27" s="14" t="s">
        <v>56</v>
      </c>
      <c r="C27" s="14" t="s">
        <v>54</v>
      </c>
      <c r="D27" s="16">
        <v>47</v>
      </c>
      <c r="E27" s="16">
        <v>18</v>
      </c>
      <c r="F27" s="16">
        <v>23</v>
      </c>
      <c r="G27" s="16">
        <v>9</v>
      </c>
      <c r="H27" s="16">
        <v>20</v>
      </c>
      <c r="I27" s="16">
        <v>20</v>
      </c>
      <c r="J27" s="16">
        <v>11</v>
      </c>
      <c r="K27" s="15">
        <f t="shared" si="0"/>
        <v>148</v>
      </c>
      <c r="L27" t="str">
        <f t="shared" si="1"/>
        <v>2Q WK 13</v>
      </c>
      <c r="N27" t="s">
        <v>71</v>
      </c>
      <c r="O27">
        <v>133</v>
      </c>
      <c r="Q27" s="17" t="s">
        <v>39</v>
      </c>
      <c r="R27" s="50">
        <v>228</v>
      </c>
    </row>
    <row r="28" spans="1:18" x14ac:dyDescent="0.2">
      <c r="A28" s="14">
        <v>2025</v>
      </c>
      <c r="B28" s="14" t="s">
        <v>72</v>
      </c>
      <c r="C28" s="14" t="s">
        <v>31</v>
      </c>
      <c r="D28" s="16">
        <v>57</v>
      </c>
      <c r="E28" s="16">
        <v>36</v>
      </c>
      <c r="F28" s="16">
        <v>24</v>
      </c>
      <c r="G28" s="16">
        <v>13</v>
      </c>
      <c r="H28" s="16">
        <v>18</v>
      </c>
      <c r="I28" s="16">
        <v>20</v>
      </c>
      <c r="J28" s="16">
        <v>13</v>
      </c>
      <c r="K28" s="15">
        <f t="shared" si="0"/>
        <v>181</v>
      </c>
      <c r="L28" t="str">
        <f t="shared" si="1"/>
        <v>3Q WK 01</v>
      </c>
      <c r="N28" t="s">
        <v>73</v>
      </c>
      <c r="O28">
        <v>148</v>
      </c>
      <c r="Q28" s="17" t="s">
        <v>41</v>
      </c>
      <c r="R28" s="50">
        <v>214</v>
      </c>
    </row>
    <row r="29" spans="1:18" x14ac:dyDescent="0.2">
      <c r="A29" s="14">
        <v>2025</v>
      </c>
      <c r="B29" s="14" t="s">
        <v>72</v>
      </c>
      <c r="C29" s="14" t="s">
        <v>32</v>
      </c>
      <c r="D29" s="16">
        <v>53</v>
      </c>
      <c r="E29" s="16">
        <v>34</v>
      </c>
      <c r="F29" s="16">
        <v>23</v>
      </c>
      <c r="G29" s="16">
        <v>14</v>
      </c>
      <c r="H29" s="16">
        <v>19</v>
      </c>
      <c r="I29" s="16">
        <v>21</v>
      </c>
      <c r="J29" s="16">
        <v>13</v>
      </c>
      <c r="K29" s="15">
        <f t="shared" si="0"/>
        <v>177</v>
      </c>
      <c r="L29" t="str">
        <f t="shared" si="1"/>
        <v>3Q WK 02</v>
      </c>
      <c r="N29" t="s">
        <v>74</v>
      </c>
      <c r="O29">
        <v>181</v>
      </c>
      <c r="Q29" s="17" t="s">
        <v>43</v>
      </c>
      <c r="R29" s="50">
        <v>225</v>
      </c>
    </row>
    <row r="30" spans="1:18" x14ac:dyDescent="0.2">
      <c r="A30" s="14">
        <v>2025</v>
      </c>
      <c r="B30" s="14" t="s">
        <v>72</v>
      </c>
      <c r="C30" s="14" t="s">
        <v>34</v>
      </c>
      <c r="D30" s="16">
        <v>55</v>
      </c>
      <c r="E30" s="16">
        <v>31</v>
      </c>
      <c r="F30" s="16">
        <v>17</v>
      </c>
      <c r="G30" s="16">
        <v>15</v>
      </c>
      <c r="H30" s="16">
        <v>19</v>
      </c>
      <c r="I30" s="16">
        <v>17</v>
      </c>
      <c r="J30" s="16">
        <v>11</v>
      </c>
      <c r="K30" s="15">
        <f t="shared" si="0"/>
        <v>165</v>
      </c>
      <c r="L30" t="str">
        <f t="shared" si="1"/>
        <v>3Q WK 03</v>
      </c>
      <c r="N30" t="s">
        <v>75</v>
      </c>
      <c r="O30">
        <v>177</v>
      </c>
      <c r="Q30" s="17" t="s">
        <v>45</v>
      </c>
      <c r="R30" s="50">
        <v>207</v>
      </c>
    </row>
    <row r="31" spans="1:18" x14ac:dyDescent="0.2">
      <c r="A31" s="14">
        <v>2025</v>
      </c>
      <c r="B31" s="14" t="s">
        <v>72</v>
      </c>
      <c r="C31" s="14" t="s">
        <v>36</v>
      </c>
      <c r="D31" s="16">
        <v>56</v>
      </c>
      <c r="E31" s="16">
        <v>34</v>
      </c>
      <c r="F31" s="16">
        <v>15</v>
      </c>
      <c r="G31" s="16">
        <v>16</v>
      </c>
      <c r="H31" s="16">
        <v>19</v>
      </c>
      <c r="I31" s="16">
        <v>17</v>
      </c>
      <c r="J31" s="16">
        <v>11</v>
      </c>
      <c r="K31" s="15">
        <f t="shared" si="0"/>
        <v>168</v>
      </c>
      <c r="L31" t="str">
        <f t="shared" si="1"/>
        <v>3Q WK 04</v>
      </c>
      <c r="N31" t="s">
        <v>76</v>
      </c>
      <c r="O31">
        <v>165</v>
      </c>
      <c r="Q31" s="17" t="s">
        <v>47</v>
      </c>
      <c r="R31" s="50">
        <v>200</v>
      </c>
    </row>
    <row r="32" spans="1:18" x14ac:dyDescent="0.2">
      <c r="A32" s="14">
        <v>2025</v>
      </c>
      <c r="B32" s="14" t="s">
        <v>72</v>
      </c>
      <c r="C32" s="14" t="s">
        <v>38</v>
      </c>
      <c r="D32" s="16">
        <v>49</v>
      </c>
      <c r="E32" s="16">
        <v>34</v>
      </c>
      <c r="F32" s="16">
        <v>14</v>
      </c>
      <c r="G32" s="16">
        <v>16</v>
      </c>
      <c r="H32" s="16">
        <v>15</v>
      </c>
      <c r="I32" s="16">
        <v>12</v>
      </c>
      <c r="J32" s="16">
        <v>6</v>
      </c>
      <c r="K32" s="15">
        <f t="shared" si="0"/>
        <v>146</v>
      </c>
      <c r="L32" t="str">
        <f t="shared" si="1"/>
        <v>3Q WK 05</v>
      </c>
      <c r="N32" t="s">
        <v>77</v>
      </c>
      <c r="O32">
        <v>168</v>
      </c>
      <c r="Q32" s="17" t="s">
        <v>49</v>
      </c>
      <c r="R32" s="50">
        <v>189</v>
      </c>
    </row>
    <row r="33" spans="1:18" x14ac:dyDescent="0.2">
      <c r="A33" s="14">
        <v>2025</v>
      </c>
      <c r="B33" s="14" t="s">
        <v>72</v>
      </c>
      <c r="C33" s="14" t="s">
        <v>40</v>
      </c>
      <c r="D33" s="16">
        <v>47</v>
      </c>
      <c r="E33" s="16">
        <v>39</v>
      </c>
      <c r="F33" s="16">
        <v>15</v>
      </c>
      <c r="G33" s="16">
        <v>17</v>
      </c>
      <c r="H33" s="16">
        <v>14</v>
      </c>
      <c r="I33" s="16">
        <v>18</v>
      </c>
      <c r="J33" s="16">
        <v>6</v>
      </c>
      <c r="K33" s="16">
        <v>156</v>
      </c>
      <c r="L33" t="str">
        <f t="shared" si="1"/>
        <v>3Q WK 06</v>
      </c>
      <c r="N33" t="s">
        <v>78</v>
      </c>
      <c r="O33">
        <v>146</v>
      </c>
      <c r="Q33" s="17" t="s">
        <v>51</v>
      </c>
      <c r="R33" s="50">
        <v>180</v>
      </c>
    </row>
    <row r="34" spans="1:18" x14ac:dyDescent="0.2">
      <c r="A34" s="14">
        <v>2025</v>
      </c>
      <c r="B34" s="14" t="s">
        <v>72</v>
      </c>
      <c r="C34" s="14" t="s">
        <v>42</v>
      </c>
      <c r="D34" s="16">
        <v>46</v>
      </c>
      <c r="E34" s="16">
        <v>41</v>
      </c>
      <c r="F34" s="16">
        <v>12</v>
      </c>
      <c r="G34" s="16">
        <v>19</v>
      </c>
      <c r="H34" s="16">
        <v>16</v>
      </c>
      <c r="I34" s="16">
        <v>18</v>
      </c>
      <c r="J34" s="16">
        <v>6</v>
      </c>
      <c r="K34" s="16">
        <v>158</v>
      </c>
      <c r="L34" t="str">
        <f t="shared" ref="L34:L65" si="2">+B34&amp;" "&amp;C34</f>
        <v>3Q WK 07</v>
      </c>
      <c r="N34" t="s">
        <v>79</v>
      </c>
      <c r="O34">
        <v>156</v>
      </c>
      <c r="Q34" s="17" t="s">
        <v>53</v>
      </c>
      <c r="R34" s="50">
        <v>167</v>
      </c>
    </row>
    <row r="35" spans="1:18" x14ac:dyDescent="0.2">
      <c r="A35" s="14">
        <v>2025</v>
      </c>
      <c r="B35" s="14" t="s">
        <v>72</v>
      </c>
      <c r="C35" s="14" t="s">
        <v>44</v>
      </c>
      <c r="D35" s="16">
        <v>45</v>
      </c>
      <c r="E35" s="16">
        <v>40</v>
      </c>
      <c r="F35" s="16">
        <v>11</v>
      </c>
      <c r="G35" s="16">
        <v>16</v>
      </c>
      <c r="H35" s="16">
        <v>11</v>
      </c>
      <c r="I35" s="16">
        <v>15</v>
      </c>
      <c r="J35" s="16">
        <v>5</v>
      </c>
      <c r="K35" s="15">
        <f>SUM(D35:J35)</f>
        <v>143</v>
      </c>
      <c r="L35" t="str">
        <f t="shared" si="2"/>
        <v>3Q WK 08</v>
      </c>
      <c r="N35" t="s">
        <v>80</v>
      </c>
      <c r="O35">
        <v>158</v>
      </c>
      <c r="Q35" s="17" t="s">
        <v>55</v>
      </c>
      <c r="R35" s="50">
        <v>154</v>
      </c>
    </row>
    <row r="36" spans="1:18" x14ac:dyDescent="0.2">
      <c r="A36" s="14">
        <v>2025</v>
      </c>
      <c r="B36" s="14" t="s">
        <v>72</v>
      </c>
      <c r="C36" s="14" t="s">
        <v>46</v>
      </c>
      <c r="D36" s="1">
        <v>40</v>
      </c>
      <c r="E36" s="1">
        <v>38</v>
      </c>
      <c r="F36" s="1">
        <v>11</v>
      </c>
      <c r="G36" s="1">
        <v>13</v>
      </c>
      <c r="H36" s="1">
        <v>8</v>
      </c>
      <c r="I36" s="1">
        <v>15</v>
      </c>
      <c r="J36" s="1">
        <v>3</v>
      </c>
      <c r="K36" s="1">
        <v>128</v>
      </c>
      <c r="L36" t="str">
        <f t="shared" si="2"/>
        <v>3Q WK 09</v>
      </c>
      <c r="N36" t="s">
        <v>81</v>
      </c>
      <c r="O36">
        <v>143</v>
      </c>
      <c r="Q36" s="17" t="s">
        <v>57</v>
      </c>
      <c r="R36" s="50">
        <v>148</v>
      </c>
    </row>
    <row r="37" spans="1:18" x14ac:dyDescent="0.2">
      <c r="A37" s="14">
        <v>2025</v>
      </c>
      <c r="B37" s="14" t="s">
        <v>72</v>
      </c>
      <c r="C37" s="14" t="s">
        <v>48</v>
      </c>
      <c r="D37" s="1">
        <v>35</v>
      </c>
      <c r="E37" s="1">
        <v>37</v>
      </c>
      <c r="F37" s="1">
        <v>13</v>
      </c>
      <c r="G37" s="1">
        <v>15</v>
      </c>
      <c r="H37" s="1">
        <v>12</v>
      </c>
      <c r="I37" s="1">
        <v>18</v>
      </c>
      <c r="J37" s="1">
        <v>4</v>
      </c>
      <c r="K37" s="1">
        <v>134</v>
      </c>
      <c r="L37" t="str">
        <f t="shared" si="2"/>
        <v>3Q WK 10</v>
      </c>
      <c r="N37" t="s">
        <v>82</v>
      </c>
      <c r="O37" s="18">
        <v>128</v>
      </c>
      <c r="Q37" s="17" t="s">
        <v>58</v>
      </c>
      <c r="R37" s="50">
        <v>169</v>
      </c>
    </row>
    <row r="38" spans="1:18" x14ac:dyDescent="0.2">
      <c r="A38" s="14">
        <v>2025</v>
      </c>
      <c r="B38" s="14" t="s">
        <v>72</v>
      </c>
      <c r="C38" s="14" t="s">
        <v>50</v>
      </c>
      <c r="D38" s="1">
        <v>28</v>
      </c>
      <c r="E38" s="1">
        <v>36</v>
      </c>
      <c r="F38" s="1">
        <v>13</v>
      </c>
      <c r="G38" s="1">
        <v>14</v>
      </c>
      <c r="H38" s="1">
        <v>10</v>
      </c>
      <c r="I38" s="1">
        <v>19</v>
      </c>
      <c r="J38" s="1">
        <v>3</v>
      </c>
      <c r="K38" s="1">
        <v>123</v>
      </c>
      <c r="L38" t="str">
        <f t="shared" si="2"/>
        <v>3Q WK 11</v>
      </c>
      <c r="N38" t="s">
        <v>83</v>
      </c>
      <c r="O38" s="18">
        <v>134</v>
      </c>
      <c r="Q38" s="17" t="s">
        <v>59</v>
      </c>
      <c r="R38" s="50">
        <v>142</v>
      </c>
    </row>
    <row r="39" spans="1:18" x14ac:dyDescent="0.2">
      <c r="A39" s="14">
        <v>2025</v>
      </c>
      <c r="B39" s="14" t="s">
        <v>72</v>
      </c>
      <c r="C39" s="14" t="s">
        <v>52</v>
      </c>
      <c r="D39" s="1">
        <v>28</v>
      </c>
      <c r="E39" s="1">
        <v>38</v>
      </c>
      <c r="F39" s="1">
        <v>11</v>
      </c>
      <c r="G39" s="1">
        <v>15</v>
      </c>
      <c r="H39" s="1">
        <v>11</v>
      </c>
      <c r="I39" s="1">
        <v>16</v>
      </c>
      <c r="J39" s="1">
        <v>4</v>
      </c>
      <c r="K39" s="1">
        <v>123</v>
      </c>
      <c r="L39" t="str">
        <f t="shared" si="2"/>
        <v>3Q WK 12</v>
      </c>
      <c r="N39" t="s">
        <v>84</v>
      </c>
      <c r="O39">
        <v>123</v>
      </c>
      <c r="Q39" s="17" t="s">
        <v>60</v>
      </c>
      <c r="R39" s="50">
        <v>169</v>
      </c>
    </row>
    <row r="40" spans="1:18" x14ac:dyDescent="0.2">
      <c r="A40" s="14">
        <v>2025</v>
      </c>
      <c r="B40" s="14" t="s">
        <v>72</v>
      </c>
      <c r="C40" s="14" t="s">
        <v>54</v>
      </c>
      <c r="D40" s="1">
        <v>27</v>
      </c>
      <c r="E40" s="1">
        <v>34</v>
      </c>
      <c r="F40" s="1">
        <v>11</v>
      </c>
      <c r="G40" s="1">
        <v>10</v>
      </c>
      <c r="H40" s="1">
        <v>11</v>
      </c>
      <c r="I40" s="1">
        <v>13</v>
      </c>
      <c r="J40" s="1">
        <v>6</v>
      </c>
      <c r="K40" s="1">
        <v>112</v>
      </c>
      <c r="L40" t="str">
        <f t="shared" si="2"/>
        <v>3Q WK 13</v>
      </c>
      <c r="N40" t="s">
        <v>85</v>
      </c>
      <c r="O40">
        <v>123</v>
      </c>
      <c r="Q40" s="17" t="s">
        <v>61</v>
      </c>
      <c r="R40" s="50">
        <v>155</v>
      </c>
    </row>
    <row r="41" spans="1:18" x14ac:dyDescent="0.2">
      <c r="A41" s="14">
        <v>2025</v>
      </c>
      <c r="B41" s="14" t="s">
        <v>86</v>
      </c>
      <c r="C41" s="14" t="s">
        <v>31</v>
      </c>
      <c r="D41" s="16">
        <v>32</v>
      </c>
      <c r="E41" s="16">
        <v>34</v>
      </c>
      <c r="F41" s="16">
        <v>7</v>
      </c>
      <c r="G41" s="16">
        <v>12</v>
      </c>
      <c r="H41" s="16">
        <v>13</v>
      </c>
      <c r="I41" s="16">
        <v>17</v>
      </c>
      <c r="J41" s="16">
        <v>4</v>
      </c>
      <c r="K41" s="15">
        <f t="shared" ref="K41:K65" si="3">SUM(D41:J41)</f>
        <v>119</v>
      </c>
      <c r="L41" t="str">
        <f t="shared" si="2"/>
        <v>4Q WK 01</v>
      </c>
      <c r="N41" t="s">
        <v>87</v>
      </c>
      <c r="O41">
        <v>112</v>
      </c>
      <c r="Q41" s="17" t="s">
        <v>62</v>
      </c>
      <c r="R41" s="50">
        <v>164</v>
      </c>
    </row>
    <row r="42" spans="1:18" x14ac:dyDescent="0.2">
      <c r="A42" s="14">
        <v>2025</v>
      </c>
      <c r="B42" s="14" t="s">
        <v>86</v>
      </c>
      <c r="C42" s="14" t="s">
        <v>32</v>
      </c>
      <c r="D42" s="16">
        <v>28</v>
      </c>
      <c r="E42" s="16">
        <v>28</v>
      </c>
      <c r="F42" s="16">
        <v>8</v>
      </c>
      <c r="G42" s="16">
        <v>12</v>
      </c>
      <c r="H42" s="16">
        <v>11</v>
      </c>
      <c r="I42" s="16">
        <v>13</v>
      </c>
      <c r="J42" s="16">
        <v>7</v>
      </c>
      <c r="K42" s="15">
        <f t="shared" si="3"/>
        <v>107</v>
      </c>
      <c r="L42" t="str">
        <f t="shared" si="2"/>
        <v>4Q WK 02</v>
      </c>
      <c r="N42" t="s">
        <v>88</v>
      </c>
      <c r="O42">
        <v>119</v>
      </c>
      <c r="Q42" s="17" t="s">
        <v>63</v>
      </c>
      <c r="R42" s="50">
        <v>136</v>
      </c>
    </row>
    <row r="43" spans="1:18" x14ac:dyDescent="0.2">
      <c r="A43" s="14">
        <v>2025</v>
      </c>
      <c r="B43" s="14" t="s">
        <v>86</v>
      </c>
      <c r="C43" s="14" t="s">
        <v>34</v>
      </c>
      <c r="D43" s="16">
        <v>35</v>
      </c>
      <c r="E43" s="16">
        <v>26</v>
      </c>
      <c r="F43" s="16">
        <v>8</v>
      </c>
      <c r="G43" s="16">
        <v>13</v>
      </c>
      <c r="H43" s="16">
        <v>6</v>
      </c>
      <c r="I43" s="16">
        <v>15</v>
      </c>
      <c r="J43" s="16">
        <v>7</v>
      </c>
      <c r="K43" s="15">
        <f t="shared" si="3"/>
        <v>110</v>
      </c>
      <c r="L43" t="str">
        <f t="shared" si="2"/>
        <v>4Q WK 03</v>
      </c>
      <c r="N43" t="s">
        <v>89</v>
      </c>
      <c r="O43">
        <v>107</v>
      </c>
      <c r="Q43" s="17" t="s">
        <v>64</v>
      </c>
      <c r="R43" s="50">
        <v>147</v>
      </c>
    </row>
    <row r="44" spans="1:18" x14ac:dyDescent="0.2">
      <c r="A44" s="14">
        <v>2025</v>
      </c>
      <c r="B44" s="14" t="s">
        <v>86</v>
      </c>
      <c r="C44" s="14" t="s">
        <v>36</v>
      </c>
      <c r="D44" s="16">
        <v>39</v>
      </c>
      <c r="E44" s="16">
        <v>26</v>
      </c>
      <c r="F44" s="16">
        <v>8</v>
      </c>
      <c r="G44" s="16">
        <v>12</v>
      </c>
      <c r="H44" s="16">
        <v>9</v>
      </c>
      <c r="I44" s="16">
        <v>37</v>
      </c>
      <c r="J44" s="16">
        <v>6</v>
      </c>
      <c r="K44" s="15">
        <f t="shared" si="3"/>
        <v>137</v>
      </c>
      <c r="L44" t="str">
        <f t="shared" si="2"/>
        <v>4Q WK 04</v>
      </c>
      <c r="N44" t="s">
        <v>90</v>
      </c>
      <c r="O44">
        <v>110</v>
      </c>
      <c r="Q44" s="17" t="s">
        <v>65</v>
      </c>
      <c r="R44" s="50">
        <v>146</v>
      </c>
    </row>
    <row r="45" spans="1:18" x14ac:dyDescent="0.2">
      <c r="A45" s="14">
        <v>2025</v>
      </c>
      <c r="B45" s="14" t="s">
        <v>86</v>
      </c>
      <c r="C45" s="14" t="s">
        <v>38</v>
      </c>
      <c r="D45" s="16">
        <v>37</v>
      </c>
      <c r="E45" s="16">
        <v>24</v>
      </c>
      <c r="F45" s="16">
        <v>7</v>
      </c>
      <c r="G45" s="16">
        <v>10</v>
      </c>
      <c r="H45" s="16">
        <v>6</v>
      </c>
      <c r="I45" s="16">
        <v>36</v>
      </c>
      <c r="J45" s="16">
        <v>4</v>
      </c>
      <c r="K45" s="15">
        <f t="shared" si="3"/>
        <v>124</v>
      </c>
      <c r="L45" t="str">
        <f t="shared" si="2"/>
        <v>4Q WK 05</v>
      </c>
      <c r="N45" t="s">
        <v>91</v>
      </c>
      <c r="O45">
        <v>137</v>
      </c>
      <c r="Q45" s="17" t="s">
        <v>68</v>
      </c>
      <c r="R45" s="50">
        <v>148</v>
      </c>
    </row>
    <row r="46" spans="1:18" x14ac:dyDescent="0.2">
      <c r="A46" s="14">
        <v>2025</v>
      </c>
      <c r="B46" s="14" t="s">
        <v>86</v>
      </c>
      <c r="C46" s="14" t="s">
        <v>40</v>
      </c>
      <c r="D46" s="16">
        <v>41</v>
      </c>
      <c r="E46" s="16">
        <v>25</v>
      </c>
      <c r="F46" s="16">
        <v>8</v>
      </c>
      <c r="G46" s="16">
        <v>10</v>
      </c>
      <c r="H46" s="16">
        <v>6</v>
      </c>
      <c r="I46" s="16">
        <v>34</v>
      </c>
      <c r="J46" s="16">
        <v>3</v>
      </c>
      <c r="K46" s="15">
        <f t="shared" si="3"/>
        <v>127</v>
      </c>
      <c r="L46" t="str">
        <f t="shared" si="2"/>
        <v>4Q WK 06</v>
      </c>
      <c r="N46" t="s">
        <v>92</v>
      </c>
      <c r="O46">
        <v>124</v>
      </c>
      <c r="Q46" s="17" t="s">
        <v>69</v>
      </c>
      <c r="R46" s="50">
        <v>161</v>
      </c>
    </row>
    <row r="47" spans="1:18" x14ac:dyDescent="0.2">
      <c r="A47" s="14">
        <v>2025</v>
      </c>
      <c r="B47" s="14" t="s">
        <v>86</v>
      </c>
      <c r="C47" s="14" t="s">
        <v>42</v>
      </c>
      <c r="D47" s="16">
        <v>39</v>
      </c>
      <c r="E47" s="16">
        <v>15</v>
      </c>
      <c r="F47" s="16">
        <v>4</v>
      </c>
      <c r="G47" s="16">
        <v>6</v>
      </c>
      <c r="H47" s="16">
        <v>4</v>
      </c>
      <c r="I47" s="16">
        <v>23</v>
      </c>
      <c r="J47" s="16">
        <v>10</v>
      </c>
      <c r="K47" s="15">
        <f t="shared" si="3"/>
        <v>101</v>
      </c>
      <c r="L47" t="str">
        <f t="shared" si="2"/>
        <v>4Q WK 07</v>
      </c>
      <c r="N47" t="s">
        <v>93</v>
      </c>
      <c r="O47">
        <v>127</v>
      </c>
      <c r="Q47" s="17" t="s">
        <v>70</v>
      </c>
      <c r="R47" s="50">
        <v>159</v>
      </c>
    </row>
    <row r="48" spans="1:18" x14ac:dyDescent="0.2">
      <c r="A48" s="14">
        <v>2025</v>
      </c>
      <c r="B48" s="14" t="s">
        <v>86</v>
      </c>
      <c r="C48" s="14" t="s">
        <v>44</v>
      </c>
      <c r="D48" s="16">
        <v>39</v>
      </c>
      <c r="E48" s="16">
        <v>17</v>
      </c>
      <c r="F48" s="16">
        <v>8</v>
      </c>
      <c r="G48" s="16">
        <v>6</v>
      </c>
      <c r="H48" s="16">
        <v>7</v>
      </c>
      <c r="I48" s="16">
        <v>26</v>
      </c>
      <c r="J48" s="16">
        <v>13</v>
      </c>
      <c r="K48" s="15">
        <f t="shared" si="3"/>
        <v>116</v>
      </c>
      <c r="L48" t="str">
        <f t="shared" si="2"/>
        <v>4Q WK 08</v>
      </c>
      <c r="N48" t="s">
        <v>94</v>
      </c>
      <c r="O48">
        <v>101</v>
      </c>
      <c r="Q48" s="17" t="s">
        <v>71</v>
      </c>
      <c r="R48" s="50">
        <v>133</v>
      </c>
    </row>
    <row r="49" spans="1:18" x14ac:dyDescent="0.2">
      <c r="A49" s="14">
        <v>2025</v>
      </c>
      <c r="B49" s="14" t="s">
        <v>86</v>
      </c>
      <c r="C49" s="14" t="s">
        <v>46</v>
      </c>
      <c r="D49" s="16">
        <v>40</v>
      </c>
      <c r="E49" s="16">
        <v>19</v>
      </c>
      <c r="F49" s="16">
        <v>10</v>
      </c>
      <c r="G49" s="16">
        <v>6</v>
      </c>
      <c r="H49" s="16">
        <v>9</v>
      </c>
      <c r="I49" s="16">
        <v>27</v>
      </c>
      <c r="J49" s="16">
        <v>13</v>
      </c>
      <c r="K49" s="15">
        <f t="shared" si="3"/>
        <v>124</v>
      </c>
      <c r="L49" t="str">
        <f t="shared" si="2"/>
        <v>4Q WK 09</v>
      </c>
      <c r="N49" t="s">
        <v>95</v>
      </c>
      <c r="O49">
        <v>116</v>
      </c>
      <c r="Q49" s="17" t="s">
        <v>73</v>
      </c>
      <c r="R49" s="50">
        <v>148</v>
      </c>
    </row>
    <row r="50" spans="1:18" x14ac:dyDescent="0.2">
      <c r="A50" s="14">
        <v>2025</v>
      </c>
      <c r="B50" s="14" t="s">
        <v>86</v>
      </c>
      <c r="C50" s="14" t="s">
        <v>48</v>
      </c>
      <c r="D50" s="16">
        <v>51</v>
      </c>
      <c r="E50" s="16">
        <v>20</v>
      </c>
      <c r="F50" s="16">
        <v>8</v>
      </c>
      <c r="G50" s="16">
        <v>8</v>
      </c>
      <c r="H50" s="16">
        <v>10</v>
      </c>
      <c r="I50" s="16">
        <v>19</v>
      </c>
      <c r="J50" s="16">
        <v>18</v>
      </c>
      <c r="K50" s="15">
        <f t="shared" si="3"/>
        <v>134</v>
      </c>
      <c r="L50" t="str">
        <f t="shared" si="2"/>
        <v>4Q WK 10</v>
      </c>
      <c r="N50" t="s">
        <v>96</v>
      </c>
      <c r="O50">
        <v>124</v>
      </c>
      <c r="Q50" s="17" t="s">
        <v>74</v>
      </c>
      <c r="R50" s="50">
        <v>181</v>
      </c>
    </row>
    <row r="51" spans="1:18" x14ac:dyDescent="0.2">
      <c r="A51" s="14">
        <v>2025</v>
      </c>
      <c r="B51" s="14" t="s">
        <v>86</v>
      </c>
      <c r="C51" s="14" t="s">
        <v>50</v>
      </c>
      <c r="D51" s="16">
        <v>36</v>
      </c>
      <c r="E51" s="16">
        <v>17</v>
      </c>
      <c r="F51" s="16">
        <v>8</v>
      </c>
      <c r="G51" s="16">
        <v>5</v>
      </c>
      <c r="H51" s="16">
        <v>8</v>
      </c>
      <c r="I51" s="16">
        <v>18</v>
      </c>
      <c r="J51" s="16">
        <v>21</v>
      </c>
      <c r="K51" s="15">
        <f t="shared" si="3"/>
        <v>113</v>
      </c>
      <c r="L51" t="str">
        <f t="shared" si="2"/>
        <v>4Q WK 11</v>
      </c>
      <c r="N51" t="s">
        <v>97</v>
      </c>
      <c r="O51">
        <v>134</v>
      </c>
      <c r="Q51" s="17" t="s">
        <v>75</v>
      </c>
      <c r="R51" s="50">
        <v>177</v>
      </c>
    </row>
    <row r="52" spans="1:18" x14ac:dyDescent="0.2">
      <c r="A52" s="14">
        <v>2025</v>
      </c>
      <c r="B52" s="14" t="s">
        <v>86</v>
      </c>
      <c r="C52" s="14" t="s">
        <v>52</v>
      </c>
      <c r="D52" s="16">
        <v>36</v>
      </c>
      <c r="E52" s="16">
        <v>16</v>
      </c>
      <c r="F52" s="16">
        <v>9</v>
      </c>
      <c r="G52" s="16">
        <v>5</v>
      </c>
      <c r="H52" s="16">
        <v>14</v>
      </c>
      <c r="I52" s="16">
        <v>19</v>
      </c>
      <c r="J52" s="16">
        <v>19</v>
      </c>
      <c r="K52" s="15">
        <f t="shared" si="3"/>
        <v>118</v>
      </c>
      <c r="L52" t="str">
        <f t="shared" si="2"/>
        <v>4Q WK 12</v>
      </c>
      <c r="N52" t="s">
        <v>98</v>
      </c>
      <c r="O52">
        <v>113</v>
      </c>
      <c r="Q52" s="17" t="s">
        <v>76</v>
      </c>
      <c r="R52" s="50">
        <v>165</v>
      </c>
    </row>
    <row r="53" spans="1:18" x14ac:dyDescent="0.2">
      <c r="A53" s="14">
        <v>2025</v>
      </c>
      <c r="B53" s="14" t="s">
        <v>86</v>
      </c>
      <c r="C53" s="14" t="s">
        <v>54</v>
      </c>
      <c r="D53" s="16">
        <v>38</v>
      </c>
      <c r="E53" s="16">
        <v>18</v>
      </c>
      <c r="F53" s="16">
        <v>10</v>
      </c>
      <c r="G53" s="16">
        <v>4</v>
      </c>
      <c r="H53" s="16">
        <v>18</v>
      </c>
      <c r="I53" s="16">
        <v>19</v>
      </c>
      <c r="J53" s="16">
        <v>20</v>
      </c>
      <c r="K53" s="15">
        <f t="shared" si="3"/>
        <v>127</v>
      </c>
      <c r="L53" t="str">
        <f t="shared" si="2"/>
        <v>4Q WK 13</v>
      </c>
      <c r="N53" t="s">
        <v>99</v>
      </c>
      <c r="O53">
        <v>118</v>
      </c>
      <c r="Q53" s="17" t="s">
        <v>77</v>
      </c>
      <c r="R53" s="50">
        <v>168</v>
      </c>
    </row>
    <row r="54" spans="1:18" x14ac:dyDescent="0.2">
      <c r="A54" s="14">
        <v>2026</v>
      </c>
      <c r="B54" s="14" t="s">
        <v>30</v>
      </c>
      <c r="C54" s="14" t="s">
        <v>31</v>
      </c>
      <c r="D54" s="16">
        <v>88</v>
      </c>
      <c r="E54" s="16">
        <v>29</v>
      </c>
      <c r="F54" s="16">
        <v>18</v>
      </c>
      <c r="G54" s="16">
        <v>6</v>
      </c>
      <c r="H54" s="16">
        <v>24</v>
      </c>
      <c r="I54" s="16">
        <v>36</v>
      </c>
      <c r="J54" s="16">
        <v>30</v>
      </c>
      <c r="K54" s="15">
        <f t="shared" si="3"/>
        <v>231</v>
      </c>
      <c r="L54" t="str">
        <f t="shared" si="2"/>
        <v>1Q WK 01</v>
      </c>
      <c r="N54" t="s">
        <v>100</v>
      </c>
      <c r="O54">
        <v>127</v>
      </c>
      <c r="Q54" s="17" t="s">
        <v>78</v>
      </c>
      <c r="R54" s="50">
        <v>146</v>
      </c>
    </row>
    <row r="55" spans="1:18" x14ac:dyDescent="0.2">
      <c r="A55" s="14">
        <v>2026</v>
      </c>
      <c r="B55" s="14" t="s">
        <v>30</v>
      </c>
      <c r="C55" s="14" t="s">
        <v>32</v>
      </c>
      <c r="D55" s="16">
        <v>70</v>
      </c>
      <c r="E55" s="16">
        <v>25</v>
      </c>
      <c r="F55" s="16">
        <v>14</v>
      </c>
      <c r="G55" s="16">
        <v>6</v>
      </c>
      <c r="H55" s="16">
        <v>27</v>
      </c>
      <c r="I55" s="16">
        <v>36</v>
      </c>
      <c r="J55" s="16">
        <v>23</v>
      </c>
      <c r="K55" s="15">
        <f t="shared" si="3"/>
        <v>201</v>
      </c>
      <c r="L55" t="str">
        <f t="shared" si="2"/>
        <v>1Q WK 02</v>
      </c>
      <c r="N55" t="s">
        <v>101</v>
      </c>
      <c r="O55">
        <v>231</v>
      </c>
      <c r="Q55" s="17" t="s">
        <v>79</v>
      </c>
      <c r="R55" s="50">
        <v>156</v>
      </c>
    </row>
    <row r="56" spans="1:18" x14ac:dyDescent="0.2">
      <c r="A56" s="14">
        <v>2026</v>
      </c>
      <c r="B56" s="14" t="s">
        <v>30</v>
      </c>
      <c r="C56" s="14" t="s">
        <v>34</v>
      </c>
      <c r="D56" s="16">
        <v>61</v>
      </c>
      <c r="E56" s="16">
        <v>25</v>
      </c>
      <c r="F56" s="16">
        <v>14</v>
      </c>
      <c r="G56" s="16">
        <v>4</v>
      </c>
      <c r="H56" s="16">
        <v>26</v>
      </c>
      <c r="I56" s="16">
        <v>32</v>
      </c>
      <c r="J56" s="16">
        <v>18</v>
      </c>
      <c r="K56" s="15">
        <f t="shared" si="3"/>
        <v>180</v>
      </c>
      <c r="L56" t="str">
        <f t="shared" si="2"/>
        <v>1Q WK 03</v>
      </c>
      <c r="N56" t="s">
        <v>102</v>
      </c>
      <c r="O56">
        <v>201</v>
      </c>
      <c r="Q56" s="17" t="s">
        <v>80</v>
      </c>
      <c r="R56" s="50">
        <v>158</v>
      </c>
    </row>
    <row r="57" spans="1:18" x14ac:dyDescent="0.2">
      <c r="A57" s="14">
        <v>2026</v>
      </c>
      <c r="B57" s="14" t="s">
        <v>30</v>
      </c>
      <c r="C57" s="14" t="s">
        <v>36</v>
      </c>
      <c r="D57" s="16">
        <v>58</v>
      </c>
      <c r="E57" s="16">
        <v>22</v>
      </c>
      <c r="F57" s="16">
        <v>15</v>
      </c>
      <c r="G57" s="16">
        <v>4</v>
      </c>
      <c r="H57" s="16">
        <v>24</v>
      </c>
      <c r="I57" s="16">
        <v>32</v>
      </c>
      <c r="J57" s="16">
        <v>16</v>
      </c>
      <c r="K57" s="15">
        <f t="shared" si="3"/>
        <v>171</v>
      </c>
      <c r="L57" t="str">
        <f t="shared" si="2"/>
        <v>1Q WK 04</v>
      </c>
      <c r="N57" t="s">
        <v>103</v>
      </c>
      <c r="O57">
        <v>180</v>
      </c>
      <c r="Q57" s="17" t="s">
        <v>81</v>
      </c>
      <c r="R57" s="50">
        <v>143</v>
      </c>
    </row>
    <row r="58" spans="1:18" x14ac:dyDescent="0.2">
      <c r="A58" s="14">
        <v>2026</v>
      </c>
      <c r="B58" s="14" t="s">
        <v>30</v>
      </c>
      <c r="C58" s="14" t="s">
        <v>38</v>
      </c>
      <c r="D58" s="16">
        <v>54</v>
      </c>
      <c r="E58" s="16">
        <v>20</v>
      </c>
      <c r="F58" s="16">
        <v>15</v>
      </c>
      <c r="G58" s="16">
        <v>5</v>
      </c>
      <c r="H58" s="16">
        <v>19</v>
      </c>
      <c r="I58" s="16">
        <v>22</v>
      </c>
      <c r="J58" s="16">
        <v>13</v>
      </c>
      <c r="K58" s="16">
        <f t="shared" si="3"/>
        <v>148</v>
      </c>
      <c r="L58" t="str">
        <f t="shared" si="2"/>
        <v>1Q WK 05</v>
      </c>
      <c r="N58" t="s">
        <v>104</v>
      </c>
      <c r="O58">
        <v>171</v>
      </c>
      <c r="Q58" s="17" t="s">
        <v>82</v>
      </c>
      <c r="R58" s="50">
        <v>128</v>
      </c>
    </row>
    <row r="59" spans="1:18" x14ac:dyDescent="0.2">
      <c r="A59" s="14">
        <v>2026</v>
      </c>
      <c r="B59" s="14" t="s">
        <v>30</v>
      </c>
      <c r="C59" s="14" t="s">
        <v>40</v>
      </c>
      <c r="D59" s="16">
        <v>54</v>
      </c>
      <c r="E59" s="16">
        <v>15</v>
      </c>
      <c r="F59" s="16">
        <v>14</v>
      </c>
      <c r="G59" s="16">
        <v>6</v>
      </c>
      <c r="H59" s="16">
        <v>18</v>
      </c>
      <c r="I59" s="16">
        <v>23</v>
      </c>
      <c r="J59" s="16">
        <v>13</v>
      </c>
      <c r="K59" s="15">
        <f t="shared" si="3"/>
        <v>143</v>
      </c>
      <c r="L59" t="str">
        <f t="shared" si="2"/>
        <v>1Q WK 06</v>
      </c>
      <c r="N59" t="s">
        <v>105</v>
      </c>
      <c r="O59">
        <v>148</v>
      </c>
      <c r="Q59" s="17" t="s">
        <v>83</v>
      </c>
      <c r="R59" s="50">
        <v>134</v>
      </c>
    </row>
    <row r="60" spans="1:18" x14ac:dyDescent="0.2">
      <c r="A60" s="14">
        <v>2026</v>
      </c>
      <c r="B60" s="14" t="s">
        <v>30</v>
      </c>
      <c r="C60" s="14" t="s">
        <v>42</v>
      </c>
      <c r="D60" s="16">
        <v>45</v>
      </c>
      <c r="E60" s="16">
        <v>12</v>
      </c>
      <c r="F60" s="16">
        <v>10</v>
      </c>
      <c r="G60" s="16">
        <v>3</v>
      </c>
      <c r="H60" s="16">
        <v>10</v>
      </c>
      <c r="I60" s="16">
        <v>20</v>
      </c>
      <c r="J60" s="16">
        <v>14</v>
      </c>
      <c r="K60" s="15">
        <f t="shared" si="3"/>
        <v>114</v>
      </c>
      <c r="L60" t="str">
        <f t="shared" si="2"/>
        <v>1Q WK 07</v>
      </c>
      <c r="N60" t="s">
        <v>106</v>
      </c>
      <c r="O60">
        <v>143</v>
      </c>
      <c r="Q60" s="17" t="s">
        <v>84</v>
      </c>
      <c r="R60" s="50">
        <v>123</v>
      </c>
    </row>
    <row r="61" spans="1:18" x14ac:dyDescent="0.2">
      <c r="A61" s="14">
        <v>2026</v>
      </c>
      <c r="B61" s="14" t="s">
        <v>30</v>
      </c>
      <c r="C61" s="14" t="s">
        <v>44</v>
      </c>
      <c r="D61" s="16">
        <v>43</v>
      </c>
      <c r="E61" s="16">
        <v>11</v>
      </c>
      <c r="F61" s="16">
        <v>8</v>
      </c>
      <c r="G61" s="16">
        <v>3</v>
      </c>
      <c r="H61" s="16">
        <v>10</v>
      </c>
      <c r="I61" s="16">
        <v>21</v>
      </c>
      <c r="J61" s="16">
        <v>14</v>
      </c>
      <c r="K61" s="15">
        <f t="shared" si="3"/>
        <v>110</v>
      </c>
      <c r="L61" t="str">
        <f t="shared" si="2"/>
        <v>1Q WK 08</v>
      </c>
      <c r="N61" t="s">
        <v>107</v>
      </c>
      <c r="O61">
        <v>114</v>
      </c>
      <c r="Q61" s="17" t="s">
        <v>85</v>
      </c>
      <c r="R61" s="50">
        <v>123</v>
      </c>
    </row>
    <row r="62" spans="1:18" x14ac:dyDescent="0.2">
      <c r="A62" s="14">
        <v>2026</v>
      </c>
      <c r="B62" s="14" t="s">
        <v>30</v>
      </c>
      <c r="C62" s="14" t="s">
        <v>46</v>
      </c>
      <c r="D62" s="16">
        <v>34</v>
      </c>
      <c r="E62" s="16">
        <v>11</v>
      </c>
      <c r="F62" s="16">
        <v>7</v>
      </c>
      <c r="G62" s="16">
        <v>2</v>
      </c>
      <c r="H62" s="16">
        <v>10</v>
      </c>
      <c r="I62" s="16">
        <v>22</v>
      </c>
      <c r="J62" s="16">
        <v>11</v>
      </c>
      <c r="K62" s="15">
        <f t="shared" si="3"/>
        <v>97</v>
      </c>
      <c r="L62" t="str">
        <f t="shared" si="2"/>
        <v>1Q WK 09</v>
      </c>
      <c r="N62" t="s">
        <v>108</v>
      </c>
      <c r="O62">
        <v>110</v>
      </c>
      <c r="Q62" s="17" t="s">
        <v>87</v>
      </c>
      <c r="R62" s="50">
        <v>112</v>
      </c>
    </row>
    <row r="63" spans="1:18" x14ac:dyDescent="0.2">
      <c r="A63" s="14">
        <v>2026</v>
      </c>
      <c r="B63" s="14" t="s">
        <v>30</v>
      </c>
      <c r="C63" s="14" t="s">
        <v>48</v>
      </c>
      <c r="D63" s="16">
        <v>37</v>
      </c>
      <c r="E63" s="16">
        <v>8</v>
      </c>
      <c r="F63" s="16">
        <v>12</v>
      </c>
      <c r="G63" s="16">
        <v>5</v>
      </c>
      <c r="H63" s="16">
        <v>10</v>
      </c>
      <c r="I63" s="16">
        <v>19</v>
      </c>
      <c r="J63" s="16">
        <v>10</v>
      </c>
      <c r="K63" s="15">
        <f t="shared" si="3"/>
        <v>101</v>
      </c>
      <c r="L63" t="str">
        <f t="shared" si="2"/>
        <v>1Q WK 10</v>
      </c>
      <c r="N63" t="s">
        <v>109</v>
      </c>
      <c r="O63">
        <v>97</v>
      </c>
      <c r="Q63" s="17" t="s">
        <v>88</v>
      </c>
      <c r="R63" s="50">
        <v>119</v>
      </c>
    </row>
    <row r="64" spans="1:18" x14ac:dyDescent="0.2">
      <c r="A64" s="14">
        <v>2026</v>
      </c>
      <c r="B64" s="14" t="s">
        <v>30</v>
      </c>
      <c r="C64" s="14" t="s">
        <v>50</v>
      </c>
      <c r="D64" s="19">
        <v>36</v>
      </c>
      <c r="E64" s="19">
        <v>7</v>
      </c>
      <c r="F64" s="19">
        <v>7</v>
      </c>
      <c r="G64" s="19">
        <v>4</v>
      </c>
      <c r="H64" s="19">
        <v>6</v>
      </c>
      <c r="I64" s="19">
        <v>11</v>
      </c>
      <c r="J64" s="19">
        <v>7</v>
      </c>
      <c r="K64" s="19">
        <f t="shared" si="3"/>
        <v>78</v>
      </c>
      <c r="L64" t="str">
        <f t="shared" si="2"/>
        <v>1Q WK 11</v>
      </c>
      <c r="N64" t="s">
        <v>110</v>
      </c>
      <c r="O64">
        <v>101</v>
      </c>
      <c r="Q64" s="17" t="s">
        <v>89</v>
      </c>
      <c r="R64" s="50">
        <v>107</v>
      </c>
    </row>
    <row r="65" spans="1:18" x14ac:dyDescent="0.2">
      <c r="A65" s="14">
        <v>2026</v>
      </c>
      <c r="B65" s="14" t="s">
        <v>30</v>
      </c>
      <c r="C65" s="14" t="s">
        <v>52</v>
      </c>
      <c r="D65" s="19">
        <v>31</v>
      </c>
      <c r="E65" s="19">
        <v>6</v>
      </c>
      <c r="F65" s="19">
        <v>12</v>
      </c>
      <c r="G65" s="19">
        <v>3</v>
      </c>
      <c r="H65" s="19">
        <v>6</v>
      </c>
      <c r="I65" s="19">
        <v>11</v>
      </c>
      <c r="J65" s="19">
        <v>4</v>
      </c>
      <c r="K65" s="19">
        <f t="shared" si="3"/>
        <v>73</v>
      </c>
      <c r="L65" t="str">
        <f t="shared" si="2"/>
        <v>1Q WK 12</v>
      </c>
      <c r="N65" t="s">
        <v>111</v>
      </c>
      <c r="O65">
        <v>78</v>
      </c>
      <c r="Q65" s="17" t="s">
        <v>90</v>
      </c>
      <c r="R65" s="50">
        <v>110</v>
      </c>
    </row>
    <row r="66" spans="1:18" x14ac:dyDescent="0.2">
      <c r="A66" s="14">
        <v>2026</v>
      </c>
      <c r="B66" s="14" t="s">
        <v>56</v>
      </c>
      <c r="C66" s="14" t="s">
        <v>31</v>
      </c>
      <c r="D66" s="19">
        <v>49</v>
      </c>
      <c r="E66" s="19">
        <v>7</v>
      </c>
      <c r="F66" s="19">
        <v>17</v>
      </c>
      <c r="G66" s="19">
        <v>5</v>
      </c>
      <c r="H66" s="19">
        <v>14</v>
      </c>
      <c r="I66" s="19">
        <v>22</v>
      </c>
      <c r="J66" s="19">
        <v>7</v>
      </c>
      <c r="K66" s="19">
        <v>121</v>
      </c>
      <c r="L66" t="str">
        <f t="shared" ref="L66:L94" si="4">+B66&amp;" "&amp;C66</f>
        <v>2Q WK 01</v>
      </c>
      <c r="N66" t="s">
        <v>112</v>
      </c>
      <c r="O66">
        <v>73</v>
      </c>
      <c r="Q66" s="17" t="s">
        <v>91</v>
      </c>
      <c r="R66" s="50">
        <v>137</v>
      </c>
    </row>
    <row r="67" spans="1:18" x14ac:dyDescent="0.2">
      <c r="A67" s="14">
        <v>2026</v>
      </c>
      <c r="B67" s="14" t="s">
        <v>56</v>
      </c>
      <c r="C67" s="14" t="s">
        <v>32</v>
      </c>
      <c r="D67" s="19">
        <v>47</v>
      </c>
      <c r="E67" s="19">
        <v>10</v>
      </c>
      <c r="F67" s="19">
        <v>17</v>
      </c>
      <c r="G67" s="19">
        <v>5</v>
      </c>
      <c r="H67" s="19">
        <v>9</v>
      </c>
      <c r="I67" s="19">
        <v>23</v>
      </c>
      <c r="J67" s="19">
        <v>6</v>
      </c>
      <c r="K67" s="19">
        <v>117</v>
      </c>
      <c r="L67" t="str">
        <f t="shared" si="4"/>
        <v>2Q WK 02</v>
      </c>
      <c r="N67" t="s">
        <v>113</v>
      </c>
      <c r="O67">
        <v>121</v>
      </c>
      <c r="Q67" s="17" t="s">
        <v>92</v>
      </c>
      <c r="R67" s="50">
        <v>124</v>
      </c>
    </row>
    <row r="68" spans="1:18" x14ac:dyDescent="0.2">
      <c r="A68" s="14">
        <v>2026</v>
      </c>
      <c r="B68" s="14" t="s">
        <v>56</v>
      </c>
      <c r="C68" s="14" t="s">
        <v>34</v>
      </c>
      <c r="D68" s="19">
        <v>42</v>
      </c>
      <c r="E68" s="19">
        <v>10</v>
      </c>
      <c r="F68" s="19">
        <v>14</v>
      </c>
      <c r="G68" s="19">
        <v>5</v>
      </c>
      <c r="H68" s="19">
        <v>4</v>
      </c>
      <c r="I68" s="19">
        <v>33</v>
      </c>
      <c r="J68" s="19">
        <v>6</v>
      </c>
      <c r="K68" s="19">
        <v>114</v>
      </c>
      <c r="L68" t="str">
        <f t="shared" si="4"/>
        <v>2Q WK 03</v>
      </c>
      <c r="N68" t="s">
        <v>114</v>
      </c>
      <c r="O68">
        <v>117</v>
      </c>
      <c r="Q68" s="17" t="s">
        <v>93</v>
      </c>
      <c r="R68" s="50">
        <v>127</v>
      </c>
    </row>
    <row r="69" spans="1:18" x14ac:dyDescent="0.2">
      <c r="A69" s="14">
        <v>2026</v>
      </c>
      <c r="B69" s="14" t="s">
        <v>56</v>
      </c>
      <c r="C69" s="14" t="s">
        <v>36</v>
      </c>
      <c r="D69" s="19">
        <v>43</v>
      </c>
      <c r="E69" s="19">
        <v>11</v>
      </c>
      <c r="F69" s="19">
        <v>14</v>
      </c>
      <c r="G69" s="19">
        <v>5</v>
      </c>
      <c r="H69" s="19">
        <v>6</v>
      </c>
      <c r="I69" s="19">
        <v>29</v>
      </c>
      <c r="J69" s="19">
        <v>6</v>
      </c>
      <c r="K69" s="19">
        <v>114</v>
      </c>
      <c r="L69" t="str">
        <f t="shared" si="4"/>
        <v>2Q WK 04</v>
      </c>
      <c r="N69" t="s">
        <v>115</v>
      </c>
      <c r="O69">
        <v>114</v>
      </c>
      <c r="Q69" s="17" t="s">
        <v>94</v>
      </c>
      <c r="R69" s="50">
        <v>101</v>
      </c>
    </row>
    <row r="70" spans="1:18" x14ac:dyDescent="0.2">
      <c r="A70" s="14">
        <v>2026</v>
      </c>
      <c r="B70" s="14" t="s">
        <v>56</v>
      </c>
      <c r="C70" s="14" t="s">
        <v>38</v>
      </c>
      <c r="D70" s="16">
        <v>44</v>
      </c>
      <c r="E70" s="16">
        <v>10</v>
      </c>
      <c r="F70" s="16">
        <v>14</v>
      </c>
      <c r="G70" s="16">
        <v>4</v>
      </c>
      <c r="H70" s="16">
        <v>11</v>
      </c>
      <c r="I70" s="16">
        <v>27</v>
      </c>
      <c r="J70" s="16">
        <v>4</v>
      </c>
      <c r="K70" s="15">
        <f t="shared" ref="K70:K77" si="5">SUM(D70:J70)</f>
        <v>114</v>
      </c>
      <c r="L70" t="str">
        <f t="shared" si="4"/>
        <v>2Q WK 05</v>
      </c>
      <c r="N70" t="s">
        <v>116</v>
      </c>
      <c r="O70">
        <v>114</v>
      </c>
      <c r="Q70" s="17" t="s">
        <v>95</v>
      </c>
      <c r="R70" s="50">
        <v>116</v>
      </c>
    </row>
    <row r="71" spans="1:18" x14ac:dyDescent="0.2">
      <c r="A71" s="14">
        <v>2026</v>
      </c>
      <c r="B71" s="14" t="s">
        <v>56</v>
      </c>
      <c r="C71" s="14" t="s">
        <v>40</v>
      </c>
      <c r="D71" s="16">
        <f>'[1]Round Robin'!$G$4</f>
        <v>50</v>
      </c>
      <c r="E71" s="16">
        <f>'[1]Round Robin'!$G$5</f>
        <v>19</v>
      </c>
      <c r="F71" s="16">
        <f>'[1]Round Robin'!$G$6</f>
        <v>16</v>
      </c>
      <c r="G71" s="16">
        <f>'[1]Round Robin'!$G$7</f>
        <v>5</v>
      </c>
      <c r="H71" s="16">
        <f>'[1]Round Robin'!$G$8</f>
        <v>13</v>
      </c>
      <c r="I71" s="16">
        <f>'[1]Round Robin'!$G$9</f>
        <v>31</v>
      </c>
      <c r="J71" s="16">
        <f>'[1]Round Robin'!$G$10</f>
        <v>3</v>
      </c>
      <c r="K71" s="15">
        <f t="shared" si="5"/>
        <v>137</v>
      </c>
      <c r="L71" t="str">
        <f t="shared" si="4"/>
        <v>2Q WK 06</v>
      </c>
      <c r="N71" t="s">
        <v>117</v>
      </c>
      <c r="O71">
        <v>114</v>
      </c>
      <c r="Q71" s="17" t="s">
        <v>96</v>
      </c>
      <c r="R71" s="50">
        <v>124</v>
      </c>
    </row>
    <row r="72" spans="1:18" x14ac:dyDescent="0.2">
      <c r="A72" s="14">
        <v>2026</v>
      </c>
      <c r="B72" s="14" t="s">
        <v>56</v>
      </c>
      <c r="C72" s="14" t="s">
        <v>42</v>
      </c>
      <c r="D72" s="16">
        <v>50</v>
      </c>
      <c r="E72" s="16">
        <v>16</v>
      </c>
      <c r="F72" s="16">
        <v>12</v>
      </c>
      <c r="G72" s="16">
        <v>3</v>
      </c>
      <c r="H72" s="16">
        <v>13</v>
      </c>
      <c r="I72" s="16">
        <v>28</v>
      </c>
      <c r="J72" s="16">
        <v>4</v>
      </c>
      <c r="K72" s="15">
        <f t="shared" si="5"/>
        <v>126</v>
      </c>
      <c r="L72" t="str">
        <f t="shared" si="4"/>
        <v>2Q WK 07</v>
      </c>
      <c r="N72" t="s">
        <v>118</v>
      </c>
      <c r="O72">
        <v>137</v>
      </c>
      <c r="Q72" s="17" t="s">
        <v>97</v>
      </c>
      <c r="R72" s="50">
        <v>134</v>
      </c>
    </row>
    <row r="73" spans="1:18" ht="17" customHeight="1" thickBot="1" x14ac:dyDescent="0.25">
      <c r="A73" s="14">
        <v>2026</v>
      </c>
      <c r="B73" s="14" t="s">
        <v>56</v>
      </c>
      <c r="C73" s="14" t="s">
        <v>44</v>
      </c>
      <c r="D73" s="16">
        <f>'[2]Round Robin'!$G$4</f>
        <v>54</v>
      </c>
      <c r="E73" s="16">
        <f>'[2]Round Robin'!$G$5</f>
        <v>16</v>
      </c>
      <c r="F73" s="16">
        <f>'[2]Round Robin'!$G$6</f>
        <v>13</v>
      </c>
      <c r="G73" s="16">
        <f>'[2]Round Robin'!$G$7</f>
        <v>2</v>
      </c>
      <c r="H73" s="16">
        <f>'[2]Round Robin'!$G$8</f>
        <v>22</v>
      </c>
      <c r="I73" s="16">
        <f>'[2]Round Robin'!$G$9</f>
        <v>36</v>
      </c>
      <c r="J73" s="16">
        <f>'[2]Round Robin'!$G$10</f>
        <v>8</v>
      </c>
      <c r="K73" s="15">
        <f t="shared" si="5"/>
        <v>151</v>
      </c>
      <c r="L73" t="str">
        <f t="shared" si="4"/>
        <v>2Q WK 08</v>
      </c>
      <c r="N73" t="s">
        <v>119</v>
      </c>
      <c r="O73">
        <v>126</v>
      </c>
      <c r="Q73" s="17" t="s">
        <v>98</v>
      </c>
      <c r="R73" s="50">
        <v>113</v>
      </c>
    </row>
    <row r="74" spans="1:18" ht="18" customHeight="1" thickTop="1" thickBot="1" x14ac:dyDescent="0.25">
      <c r="A74" s="14">
        <v>2026</v>
      </c>
      <c r="B74" s="14" t="s">
        <v>56</v>
      </c>
      <c r="C74" s="20" t="s">
        <v>46</v>
      </c>
      <c r="D74" s="19">
        <v>44</v>
      </c>
      <c r="E74" s="19">
        <v>16</v>
      </c>
      <c r="F74" s="19">
        <v>13</v>
      </c>
      <c r="G74" s="19">
        <v>3</v>
      </c>
      <c r="H74" s="19">
        <v>23</v>
      </c>
      <c r="I74" s="19">
        <v>18</v>
      </c>
      <c r="J74" s="19">
        <v>8</v>
      </c>
      <c r="K74" s="19">
        <f t="shared" si="5"/>
        <v>125</v>
      </c>
      <c r="L74" t="str">
        <f t="shared" si="4"/>
        <v>2Q WK 09</v>
      </c>
      <c r="N74" t="s">
        <v>120</v>
      </c>
      <c r="O74">
        <v>151</v>
      </c>
      <c r="Q74" s="17" t="s">
        <v>99</v>
      </c>
      <c r="R74" s="50">
        <v>118</v>
      </c>
    </row>
    <row r="75" spans="1:18" ht="18" customHeight="1" thickTop="1" thickBot="1" x14ac:dyDescent="0.25">
      <c r="A75" s="14">
        <v>2026</v>
      </c>
      <c r="B75" s="14" t="s">
        <v>56</v>
      </c>
      <c r="C75" s="20" t="s">
        <v>48</v>
      </c>
      <c r="D75" s="19">
        <f>'[3]Round Robin'!$N$4</f>
        <v>49</v>
      </c>
      <c r="E75" s="19">
        <f>'[3]Round Robin'!$N$5</f>
        <v>17</v>
      </c>
      <c r="F75" s="19">
        <f>'[3]Round Robin'!$N$6</f>
        <v>14</v>
      </c>
      <c r="G75" s="19">
        <f>'[3]Round Robin'!$N$7</f>
        <v>3</v>
      </c>
      <c r="H75" s="19">
        <f>'[3]Round Robin'!$N$8</f>
        <v>23</v>
      </c>
      <c r="I75" s="19">
        <f>'[3]Round Robin'!$N$9</f>
        <v>21</v>
      </c>
      <c r="J75" s="19">
        <f>'[3]Round Robin'!$N$10</f>
        <v>10</v>
      </c>
      <c r="K75" s="19">
        <f t="shared" si="5"/>
        <v>137</v>
      </c>
      <c r="L75" t="str">
        <f t="shared" si="4"/>
        <v>2Q WK 10</v>
      </c>
      <c r="N75" t="s">
        <v>121</v>
      </c>
      <c r="O75">
        <v>125</v>
      </c>
      <c r="Q75" s="17" t="s">
        <v>100</v>
      </c>
      <c r="R75" s="50">
        <v>127</v>
      </c>
    </row>
    <row r="76" spans="1:18" x14ac:dyDescent="0.2">
      <c r="A76" s="14">
        <v>2026</v>
      </c>
      <c r="B76" s="14" t="s">
        <v>56</v>
      </c>
      <c r="C76" s="14" t="s">
        <v>50</v>
      </c>
      <c r="D76" s="16">
        <v>51</v>
      </c>
      <c r="E76" s="16">
        <v>16</v>
      </c>
      <c r="F76" s="16">
        <v>14</v>
      </c>
      <c r="G76" s="16">
        <v>3</v>
      </c>
      <c r="H76" s="16">
        <v>25</v>
      </c>
      <c r="I76" s="16">
        <v>28</v>
      </c>
      <c r="J76" s="16">
        <v>8</v>
      </c>
      <c r="K76" s="15">
        <f t="shared" si="5"/>
        <v>145</v>
      </c>
      <c r="L76" t="str">
        <f t="shared" si="4"/>
        <v>2Q WK 11</v>
      </c>
      <c r="N76" t="s">
        <v>122</v>
      </c>
      <c r="O76">
        <v>116</v>
      </c>
      <c r="Q76" s="17" t="s">
        <v>101</v>
      </c>
      <c r="R76" s="50">
        <v>231</v>
      </c>
    </row>
    <row r="77" spans="1:18" x14ac:dyDescent="0.2">
      <c r="A77" s="14">
        <v>2026</v>
      </c>
      <c r="B77" s="14" t="s">
        <v>56</v>
      </c>
      <c r="C77" s="14" t="s">
        <v>52</v>
      </c>
      <c r="D77" s="16">
        <f>'[4]Round Robin'!$G$4</f>
        <v>58</v>
      </c>
      <c r="E77" s="16">
        <f>'[4]Round Robin'!$G$5</f>
        <v>14</v>
      </c>
      <c r="F77" s="16">
        <f>'[4]Round Robin'!$G$6</f>
        <v>15</v>
      </c>
      <c r="G77" s="16">
        <f>'[4]Round Robin'!$G$7</f>
        <v>4</v>
      </c>
      <c r="H77" s="16">
        <f>'[4]Round Robin'!$G$8</f>
        <v>25</v>
      </c>
      <c r="I77" s="16">
        <f>'[4]Round Robin'!$G$9</f>
        <v>21</v>
      </c>
      <c r="J77" s="16">
        <f>'[4]Round Robin'!$G$10</f>
        <v>11</v>
      </c>
      <c r="K77" s="15">
        <f t="shared" si="5"/>
        <v>148</v>
      </c>
      <c r="L77" t="str">
        <f t="shared" si="4"/>
        <v>2Q WK 12</v>
      </c>
      <c r="N77" t="s">
        <v>123</v>
      </c>
      <c r="O77">
        <v>145</v>
      </c>
      <c r="Q77" s="17" t="s">
        <v>102</v>
      </c>
      <c r="R77" s="50">
        <v>201</v>
      </c>
    </row>
    <row r="78" spans="1:18" x14ac:dyDescent="0.2">
      <c r="A78" s="14">
        <v>2026</v>
      </c>
      <c r="B78" s="14" t="s">
        <v>56</v>
      </c>
      <c r="C78" s="14" t="s">
        <v>54</v>
      </c>
      <c r="D78" s="16">
        <v>54</v>
      </c>
      <c r="E78" s="16">
        <v>13</v>
      </c>
      <c r="F78" s="16">
        <v>10</v>
      </c>
      <c r="G78" s="16">
        <v>5</v>
      </c>
      <c r="H78" s="16">
        <v>27</v>
      </c>
      <c r="I78" s="16">
        <v>30</v>
      </c>
      <c r="J78" s="16">
        <v>13</v>
      </c>
      <c r="K78" s="16">
        <v>152</v>
      </c>
      <c r="L78" t="str">
        <f t="shared" si="4"/>
        <v>2Q WK 13</v>
      </c>
      <c r="N78" t="s">
        <v>124</v>
      </c>
      <c r="O78">
        <v>148</v>
      </c>
      <c r="Q78" s="17" t="s">
        <v>103</v>
      </c>
      <c r="R78" s="50">
        <v>180</v>
      </c>
    </row>
    <row r="79" spans="1:18" x14ac:dyDescent="0.2">
      <c r="A79" s="14">
        <v>2026</v>
      </c>
      <c r="B79" s="14" t="s">
        <v>72</v>
      </c>
      <c r="C79" s="14" t="s">
        <v>31</v>
      </c>
      <c r="D79" s="16">
        <v>66</v>
      </c>
      <c r="E79" s="16">
        <v>15</v>
      </c>
      <c r="F79" s="16">
        <v>15</v>
      </c>
      <c r="G79" s="16">
        <v>3</v>
      </c>
      <c r="H79" s="16">
        <v>33</v>
      </c>
      <c r="I79" s="16">
        <v>26</v>
      </c>
      <c r="J79" s="16">
        <v>18</v>
      </c>
      <c r="K79" s="15">
        <f t="shared" ref="K79:K92" si="6">SUM(D79:J79)</f>
        <v>176</v>
      </c>
      <c r="L79" t="str">
        <f t="shared" si="4"/>
        <v>3Q WK 01</v>
      </c>
      <c r="N79" t="s">
        <v>125</v>
      </c>
      <c r="O79">
        <v>152</v>
      </c>
      <c r="Q79" s="17" t="s">
        <v>104</v>
      </c>
      <c r="R79" s="50">
        <v>171</v>
      </c>
    </row>
    <row r="80" spans="1:18" x14ac:dyDescent="0.2">
      <c r="A80" s="14">
        <v>2026</v>
      </c>
      <c r="B80" s="14" t="s">
        <v>72</v>
      </c>
      <c r="C80" s="14" t="s">
        <v>32</v>
      </c>
      <c r="D80" s="16">
        <v>64</v>
      </c>
      <c r="E80" s="16">
        <v>15</v>
      </c>
      <c r="F80" s="16">
        <v>12</v>
      </c>
      <c r="G80" s="16">
        <v>2</v>
      </c>
      <c r="H80" s="16">
        <v>32</v>
      </c>
      <c r="I80" s="16">
        <v>21</v>
      </c>
      <c r="J80" s="16">
        <v>19</v>
      </c>
      <c r="K80" s="15">
        <f t="shared" si="6"/>
        <v>165</v>
      </c>
      <c r="L80" t="str">
        <f t="shared" si="4"/>
        <v>3Q WK 02</v>
      </c>
      <c r="N80" t="s">
        <v>126</v>
      </c>
      <c r="O80">
        <v>176</v>
      </c>
      <c r="Q80" s="17" t="s">
        <v>105</v>
      </c>
      <c r="R80" s="50">
        <v>148</v>
      </c>
    </row>
    <row r="81" spans="1:18" x14ac:dyDescent="0.2">
      <c r="A81" s="14">
        <v>2026</v>
      </c>
      <c r="B81" s="14" t="s">
        <v>72</v>
      </c>
      <c r="C81" s="14" t="s">
        <v>34</v>
      </c>
      <c r="D81" s="16">
        <v>56</v>
      </c>
      <c r="E81" s="16">
        <v>14</v>
      </c>
      <c r="F81" s="16">
        <v>12</v>
      </c>
      <c r="G81" s="16">
        <v>2</v>
      </c>
      <c r="H81" s="16">
        <v>31</v>
      </c>
      <c r="I81" s="16">
        <v>26</v>
      </c>
      <c r="J81" s="16">
        <v>19</v>
      </c>
      <c r="K81" s="15">
        <f t="shared" si="6"/>
        <v>160</v>
      </c>
      <c r="L81" t="str">
        <f t="shared" si="4"/>
        <v>3Q WK 03</v>
      </c>
      <c r="N81" t="s">
        <v>127</v>
      </c>
      <c r="O81">
        <v>165</v>
      </c>
      <c r="Q81" s="17" t="s">
        <v>106</v>
      </c>
      <c r="R81" s="50">
        <v>143</v>
      </c>
    </row>
    <row r="82" spans="1:18" x14ac:dyDescent="0.2">
      <c r="A82" s="14">
        <v>2026</v>
      </c>
      <c r="B82" s="14" t="s">
        <v>72</v>
      </c>
      <c r="C82" s="14" t="s">
        <v>36</v>
      </c>
      <c r="D82" s="16">
        <v>46</v>
      </c>
      <c r="E82" s="16">
        <v>11</v>
      </c>
      <c r="F82" s="16">
        <v>10</v>
      </c>
      <c r="G82" s="16">
        <v>2</v>
      </c>
      <c r="H82" s="16">
        <v>28</v>
      </c>
      <c r="I82" s="16">
        <v>23</v>
      </c>
      <c r="J82" s="16">
        <v>18</v>
      </c>
      <c r="K82" s="15">
        <f t="shared" si="6"/>
        <v>138</v>
      </c>
      <c r="L82" t="str">
        <f t="shared" si="4"/>
        <v>3Q WK 04</v>
      </c>
      <c r="N82" t="s">
        <v>128</v>
      </c>
      <c r="O82">
        <v>160</v>
      </c>
      <c r="Q82" s="17" t="s">
        <v>107</v>
      </c>
      <c r="R82" s="50">
        <v>114</v>
      </c>
    </row>
    <row r="83" spans="1:18" x14ac:dyDescent="0.2">
      <c r="A83" s="14">
        <v>2026</v>
      </c>
      <c r="B83" s="14" t="s">
        <v>72</v>
      </c>
      <c r="C83" s="14" t="s">
        <v>38</v>
      </c>
      <c r="D83" s="16">
        <v>37</v>
      </c>
      <c r="E83" s="16">
        <v>11</v>
      </c>
      <c r="F83" s="16">
        <v>9</v>
      </c>
      <c r="G83" s="16">
        <v>3</v>
      </c>
      <c r="H83" s="16">
        <v>26</v>
      </c>
      <c r="I83" s="16">
        <v>26</v>
      </c>
      <c r="J83" s="16">
        <v>20</v>
      </c>
      <c r="K83" s="15">
        <f t="shared" si="6"/>
        <v>132</v>
      </c>
      <c r="L83" t="str">
        <f t="shared" si="4"/>
        <v>3Q WK 05</v>
      </c>
      <c r="N83" t="s">
        <v>129</v>
      </c>
      <c r="O83">
        <v>138</v>
      </c>
      <c r="Q83" s="17" t="s">
        <v>108</v>
      </c>
      <c r="R83" s="50">
        <v>110</v>
      </c>
    </row>
    <row r="84" spans="1:18" x14ac:dyDescent="0.2">
      <c r="A84" s="14">
        <v>2026</v>
      </c>
      <c r="B84" s="14" t="s">
        <v>72</v>
      </c>
      <c r="C84" s="14" t="s">
        <v>40</v>
      </c>
      <c r="D84" s="16">
        <v>44</v>
      </c>
      <c r="E84" s="16">
        <v>16</v>
      </c>
      <c r="F84" s="16">
        <v>11</v>
      </c>
      <c r="G84" s="16">
        <v>2</v>
      </c>
      <c r="H84" s="16">
        <v>28</v>
      </c>
      <c r="I84" s="16">
        <v>17</v>
      </c>
      <c r="J84" s="16">
        <v>26</v>
      </c>
      <c r="K84" s="15">
        <f t="shared" si="6"/>
        <v>144</v>
      </c>
      <c r="L84" t="str">
        <f t="shared" si="4"/>
        <v>3Q WK 06</v>
      </c>
      <c r="N84" t="s">
        <v>130</v>
      </c>
      <c r="O84">
        <v>132</v>
      </c>
      <c r="Q84" s="17" t="s">
        <v>109</v>
      </c>
      <c r="R84" s="50">
        <v>97</v>
      </c>
    </row>
    <row r="85" spans="1:18" x14ac:dyDescent="0.2">
      <c r="A85" s="14">
        <v>2026</v>
      </c>
      <c r="B85" s="14" t="s">
        <v>72</v>
      </c>
      <c r="C85" s="14" t="s">
        <v>42</v>
      </c>
      <c r="D85" s="16">
        <v>43</v>
      </c>
      <c r="E85" s="16">
        <v>15</v>
      </c>
      <c r="F85" s="16">
        <v>12</v>
      </c>
      <c r="G85" s="16">
        <v>2</v>
      </c>
      <c r="H85" s="16">
        <v>23</v>
      </c>
      <c r="I85" s="16">
        <v>19</v>
      </c>
      <c r="J85" s="16">
        <v>41</v>
      </c>
      <c r="K85" s="15">
        <f t="shared" si="6"/>
        <v>155</v>
      </c>
      <c r="L85" t="str">
        <f t="shared" si="4"/>
        <v>3Q WK 07</v>
      </c>
      <c r="N85" t="s">
        <v>131</v>
      </c>
      <c r="O85">
        <v>144</v>
      </c>
      <c r="Q85" s="17" t="s">
        <v>110</v>
      </c>
      <c r="R85" s="50">
        <v>101</v>
      </c>
    </row>
    <row r="86" spans="1:18" x14ac:dyDescent="0.2">
      <c r="A86" s="14">
        <v>2026</v>
      </c>
      <c r="B86" s="14" t="s">
        <v>72</v>
      </c>
      <c r="C86" s="14" t="s">
        <v>44</v>
      </c>
      <c r="D86" s="16">
        <v>43</v>
      </c>
      <c r="E86" s="16">
        <v>14</v>
      </c>
      <c r="F86" s="16">
        <v>12</v>
      </c>
      <c r="G86" s="16">
        <v>3</v>
      </c>
      <c r="H86" s="16">
        <v>22</v>
      </c>
      <c r="I86" s="16">
        <v>19</v>
      </c>
      <c r="J86" s="16">
        <v>36</v>
      </c>
      <c r="K86" s="15">
        <f t="shared" si="6"/>
        <v>149</v>
      </c>
      <c r="L86" t="str">
        <f t="shared" si="4"/>
        <v>3Q WK 08</v>
      </c>
      <c r="N86" t="s">
        <v>132</v>
      </c>
      <c r="O86">
        <v>155</v>
      </c>
      <c r="Q86" s="17" t="s">
        <v>111</v>
      </c>
      <c r="R86" s="50">
        <v>78</v>
      </c>
    </row>
    <row r="87" spans="1:18" x14ac:dyDescent="0.2">
      <c r="A87" s="14">
        <v>2026</v>
      </c>
      <c r="B87" s="14" t="s">
        <v>72</v>
      </c>
      <c r="C87" s="14" t="s">
        <v>46</v>
      </c>
      <c r="D87" s="16">
        <v>37</v>
      </c>
      <c r="E87" s="16">
        <v>13</v>
      </c>
      <c r="F87" s="16">
        <v>10</v>
      </c>
      <c r="G87" s="16">
        <v>4</v>
      </c>
      <c r="H87" s="16">
        <v>24</v>
      </c>
      <c r="I87" s="16">
        <v>20</v>
      </c>
      <c r="J87" s="16">
        <v>37</v>
      </c>
      <c r="K87" s="15">
        <f t="shared" si="6"/>
        <v>145</v>
      </c>
      <c r="L87" t="str">
        <f t="shared" si="4"/>
        <v>3Q WK 09</v>
      </c>
      <c r="N87" t="s">
        <v>168</v>
      </c>
      <c r="O87">
        <v>149</v>
      </c>
      <c r="Q87" s="17" t="s">
        <v>112</v>
      </c>
      <c r="R87" s="50">
        <v>73</v>
      </c>
    </row>
    <row r="88" spans="1:18" x14ac:dyDescent="0.2">
      <c r="A88" s="14">
        <v>2026</v>
      </c>
      <c r="B88" s="14" t="s">
        <v>72</v>
      </c>
      <c r="C88" s="14" t="s">
        <v>48</v>
      </c>
      <c r="D88" s="16">
        <v>44</v>
      </c>
      <c r="E88" s="16">
        <v>14</v>
      </c>
      <c r="F88" s="16">
        <v>12</v>
      </c>
      <c r="G88" s="16">
        <v>5</v>
      </c>
      <c r="H88" s="16">
        <v>22</v>
      </c>
      <c r="I88" s="16">
        <v>22</v>
      </c>
      <c r="J88" s="16">
        <v>39</v>
      </c>
      <c r="K88" s="15">
        <f t="shared" si="6"/>
        <v>158</v>
      </c>
      <c r="L88" t="str">
        <f t="shared" si="4"/>
        <v>3Q WK 10</v>
      </c>
      <c r="N88" t="s">
        <v>169</v>
      </c>
      <c r="O88">
        <v>145</v>
      </c>
      <c r="Q88" s="17" t="s">
        <v>113</v>
      </c>
      <c r="R88" s="50">
        <v>121</v>
      </c>
    </row>
    <row r="89" spans="1:18" x14ac:dyDescent="0.2">
      <c r="A89" s="14">
        <v>2026</v>
      </c>
      <c r="B89" s="14" t="s">
        <v>72</v>
      </c>
      <c r="C89" s="14" t="s">
        <v>50</v>
      </c>
      <c r="D89" s="16">
        <v>46</v>
      </c>
      <c r="E89" s="16">
        <v>13</v>
      </c>
      <c r="F89" s="16">
        <v>13</v>
      </c>
      <c r="G89" s="16">
        <v>5</v>
      </c>
      <c r="H89" s="16">
        <v>28</v>
      </c>
      <c r="I89" s="16">
        <v>24</v>
      </c>
      <c r="J89" s="16">
        <v>38</v>
      </c>
      <c r="K89" s="15">
        <f t="shared" si="6"/>
        <v>167</v>
      </c>
      <c r="L89" t="str">
        <f t="shared" si="4"/>
        <v>3Q WK 11</v>
      </c>
      <c r="N89" t="s">
        <v>170</v>
      </c>
      <c r="O89">
        <v>158</v>
      </c>
      <c r="Q89" s="17" t="s">
        <v>114</v>
      </c>
      <c r="R89" s="50">
        <v>117</v>
      </c>
    </row>
    <row r="90" spans="1:18" x14ac:dyDescent="0.2">
      <c r="A90" s="14">
        <v>2026</v>
      </c>
      <c r="B90" s="14" t="s">
        <v>72</v>
      </c>
      <c r="C90" s="14" t="s">
        <v>52</v>
      </c>
      <c r="D90" s="16">
        <v>58</v>
      </c>
      <c r="E90" s="16">
        <v>9</v>
      </c>
      <c r="F90" s="16">
        <v>12</v>
      </c>
      <c r="G90" s="16">
        <v>8</v>
      </c>
      <c r="H90" s="16">
        <v>27</v>
      </c>
      <c r="I90" s="16">
        <v>23</v>
      </c>
      <c r="J90" s="16">
        <v>32</v>
      </c>
      <c r="K90" s="15">
        <f t="shared" si="6"/>
        <v>169</v>
      </c>
      <c r="L90" t="str">
        <f t="shared" si="4"/>
        <v>3Q WK 12</v>
      </c>
      <c r="N90" t="s">
        <v>171</v>
      </c>
      <c r="O90">
        <v>167</v>
      </c>
      <c r="Q90" s="17" t="s">
        <v>115</v>
      </c>
      <c r="R90" s="50">
        <v>114</v>
      </c>
    </row>
    <row r="91" spans="1:18" x14ac:dyDescent="0.2">
      <c r="A91" s="14">
        <v>2026</v>
      </c>
      <c r="B91" s="14" t="s">
        <v>72</v>
      </c>
      <c r="C91" s="14" t="s">
        <v>54</v>
      </c>
      <c r="D91" s="16">
        <v>58</v>
      </c>
      <c r="E91" s="16">
        <v>10</v>
      </c>
      <c r="F91" s="16">
        <v>14</v>
      </c>
      <c r="G91" s="16">
        <v>6</v>
      </c>
      <c r="H91" s="16">
        <v>25</v>
      </c>
      <c r="I91" s="16">
        <v>24</v>
      </c>
      <c r="J91" s="16">
        <v>32</v>
      </c>
      <c r="K91" s="15">
        <f t="shared" si="6"/>
        <v>169</v>
      </c>
      <c r="L91" t="str">
        <f t="shared" si="4"/>
        <v>3Q WK 13</v>
      </c>
      <c r="N91" t="s">
        <v>172</v>
      </c>
      <c r="O91">
        <v>169</v>
      </c>
      <c r="Q91" s="17" t="s">
        <v>116</v>
      </c>
      <c r="R91" s="50">
        <v>114</v>
      </c>
    </row>
    <row r="92" spans="1:18" x14ac:dyDescent="0.2">
      <c r="A92" s="14">
        <v>2026</v>
      </c>
      <c r="B92" s="14" t="s">
        <v>86</v>
      </c>
      <c r="C92" s="14" t="s">
        <v>31</v>
      </c>
      <c r="D92" s="16">
        <v>60</v>
      </c>
      <c r="E92" s="16">
        <v>17</v>
      </c>
      <c r="F92" s="16">
        <v>16</v>
      </c>
      <c r="G92" s="16">
        <v>5</v>
      </c>
      <c r="H92" s="16">
        <v>31</v>
      </c>
      <c r="I92" s="16">
        <v>20</v>
      </c>
      <c r="J92" s="16">
        <v>30</v>
      </c>
      <c r="K92" s="15">
        <f t="shared" si="6"/>
        <v>179</v>
      </c>
      <c r="L92" t="str">
        <f t="shared" si="4"/>
        <v>4Q WK 01</v>
      </c>
      <c r="N92" t="s">
        <v>173</v>
      </c>
      <c r="O92">
        <v>169</v>
      </c>
      <c r="Q92" s="17" t="s">
        <v>117</v>
      </c>
      <c r="R92" s="50">
        <v>114</v>
      </c>
    </row>
    <row r="93" spans="1:18" ht="17" thickBot="1" x14ac:dyDescent="0.25">
      <c r="A93" s="14">
        <v>2026</v>
      </c>
      <c r="B93" s="14" t="s">
        <v>86</v>
      </c>
      <c r="C93" s="14" t="s">
        <v>32</v>
      </c>
      <c r="D93" s="16">
        <v>56</v>
      </c>
      <c r="E93" s="16">
        <v>15</v>
      </c>
      <c r="F93" s="16">
        <v>12</v>
      </c>
      <c r="G93" s="16">
        <v>6</v>
      </c>
      <c r="H93" s="16">
        <v>26</v>
      </c>
      <c r="I93" s="16">
        <v>34</v>
      </c>
      <c r="J93" s="16">
        <v>31</v>
      </c>
      <c r="K93" s="15">
        <v>180</v>
      </c>
      <c r="L93" t="str">
        <f t="shared" si="4"/>
        <v>4Q WK 02</v>
      </c>
      <c r="N93" t="s">
        <v>174</v>
      </c>
      <c r="O93">
        <v>179</v>
      </c>
      <c r="Q93" s="17" t="s">
        <v>118</v>
      </c>
      <c r="R93" s="50">
        <v>137</v>
      </c>
    </row>
    <row r="94" spans="1:18" ht="18" thickTop="1" thickBot="1" x14ac:dyDescent="0.25">
      <c r="A94" s="20">
        <v>2026</v>
      </c>
      <c r="B94" s="20" t="s">
        <v>86</v>
      </c>
      <c r="C94" s="20" t="s">
        <v>34</v>
      </c>
      <c r="D94" s="19">
        <v>43</v>
      </c>
      <c r="E94" s="19">
        <v>14</v>
      </c>
      <c r="F94" s="19">
        <v>4</v>
      </c>
      <c r="G94" s="19">
        <v>5</v>
      </c>
      <c r="H94" s="19">
        <v>10</v>
      </c>
      <c r="I94" s="19">
        <v>9</v>
      </c>
      <c r="J94" s="19">
        <v>19</v>
      </c>
      <c r="K94" s="19">
        <v>104</v>
      </c>
      <c r="L94" t="str">
        <f t="shared" si="4"/>
        <v>4Q WK 03</v>
      </c>
      <c r="N94" t="s">
        <v>178</v>
      </c>
      <c r="O94" s="15">
        <v>180</v>
      </c>
      <c r="Q94" s="17" t="s">
        <v>119</v>
      </c>
      <c r="R94" s="50">
        <v>126</v>
      </c>
    </row>
    <row r="95" spans="1:18" x14ac:dyDescent="0.2">
      <c r="N95" t="s">
        <v>179</v>
      </c>
      <c r="O95" s="19">
        <v>104</v>
      </c>
      <c r="Q95" s="17" t="s">
        <v>120</v>
      </c>
      <c r="R95" s="50">
        <v>151</v>
      </c>
    </row>
    <row r="96" spans="1:18" x14ac:dyDescent="0.2">
      <c r="Q96" s="17" t="s">
        <v>121</v>
      </c>
      <c r="R96" s="50">
        <v>125</v>
      </c>
    </row>
    <row r="97" spans="17:18" x14ac:dyDescent="0.2">
      <c r="Q97" s="17" t="s">
        <v>122</v>
      </c>
      <c r="R97" s="50">
        <v>116</v>
      </c>
    </row>
    <row r="98" spans="17:18" x14ac:dyDescent="0.2">
      <c r="Q98" s="17" t="s">
        <v>123</v>
      </c>
      <c r="R98" s="50">
        <v>145</v>
      </c>
    </row>
    <row r="99" spans="17:18" x14ac:dyDescent="0.2">
      <c r="Q99" s="17" t="s">
        <v>124</v>
      </c>
      <c r="R99" s="50">
        <v>148</v>
      </c>
    </row>
    <row r="100" spans="17:18" x14ac:dyDescent="0.2">
      <c r="Q100" s="17" t="s">
        <v>125</v>
      </c>
      <c r="R100" s="50">
        <v>152</v>
      </c>
    </row>
    <row r="101" spans="17:18" x14ac:dyDescent="0.2">
      <c r="Q101" s="17" t="s">
        <v>126</v>
      </c>
      <c r="R101" s="50">
        <v>176</v>
      </c>
    </row>
    <row r="102" spans="17:18" x14ac:dyDescent="0.2">
      <c r="Q102" s="17" t="s">
        <v>127</v>
      </c>
      <c r="R102" s="50">
        <v>165</v>
      </c>
    </row>
    <row r="103" spans="17:18" x14ac:dyDescent="0.2">
      <c r="Q103" s="17" t="s">
        <v>128</v>
      </c>
      <c r="R103" s="50">
        <v>160</v>
      </c>
    </row>
    <row r="104" spans="17:18" x14ac:dyDescent="0.2">
      <c r="Q104" s="17" t="s">
        <v>129</v>
      </c>
      <c r="R104" s="50">
        <v>138</v>
      </c>
    </row>
    <row r="105" spans="17:18" x14ac:dyDescent="0.2">
      <c r="Q105" s="17" t="s">
        <v>130</v>
      </c>
      <c r="R105" s="50">
        <v>132</v>
      </c>
    </row>
    <row r="106" spans="17:18" x14ac:dyDescent="0.2">
      <c r="Q106" s="17" t="s">
        <v>131</v>
      </c>
      <c r="R106" s="50">
        <v>144</v>
      </c>
    </row>
    <row r="107" spans="17:18" x14ac:dyDescent="0.2">
      <c r="Q107" s="17" t="s">
        <v>132</v>
      </c>
      <c r="R107" s="50">
        <v>155</v>
      </c>
    </row>
    <row r="108" spans="17:18" x14ac:dyDescent="0.2">
      <c r="Q108" s="17" t="s">
        <v>168</v>
      </c>
      <c r="R108" s="50">
        <v>149</v>
      </c>
    </row>
    <row r="109" spans="17:18" x14ac:dyDescent="0.2">
      <c r="Q109" s="17" t="s">
        <v>169</v>
      </c>
      <c r="R109" s="50">
        <v>145</v>
      </c>
    </row>
    <row r="110" spans="17:18" x14ac:dyDescent="0.2">
      <c r="Q110" s="17" t="s">
        <v>170</v>
      </c>
      <c r="R110" s="50">
        <v>158</v>
      </c>
    </row>
    <row r="111" spans="17:18" x14ac:dyDescent="0.2">
      <c r="Q111" s="17" t="s">
        <v>171</v>
      </c>
      <c r="R111" s="50">
        <v>167</v>
      </c>
    </row>
    <row r="112" spans="17:18" x14ac:dyDescent="0.2">
      <c r="Q112" s="17" t="s">
        <v>172</v>
      </c>
      <c r="R112" s="50">
        <v>169</v>
      </c>
    </row>
    <row r="113" spans="17:18" x14ac:dyDescent="0.2">
      <c r="Q113" s="17" t="s">
        <v>173</v>
      </c>
      <c r="R113" s="50">
        <v>169</v>
      </c>
    </row>
    <row r="114" spans="17:18" x14ac:dyDescent="0.2">
      <c r="Q114" s="17" t="s">
        <v>174</v>
      </c>
      <c r="R114" s="50">
        <v>179</v>
      </c>
    </row>
    <row r="115" spans="17:18" x14ac:dyDescent="0.2">
      <c r="Q115" s="17" t="s">
        <v>178</v>
      </c>
      <c r="R115" s="50">
        <v>180</v>
      </c>
    </row>
    <row r="116" spans="17:18" x14ac:dyDescent="0.2">
      <c r="Q116" s="17" t="s">
        <v>179</v>
      </c>
      <c r="R116" s="50">
        <v>104</v>
      </c>
    </row>
    <row r="117" spans="17:18" x14ac:dyDescent="0.2">
      <c r="Q117" s="17" t="s">
        <v>21</v>
      </c>
      <c r="R117" s="50">
        <v>13962</v>
      </c>
    </row>
  </sheetData>
  <autoFilter ref="A1:K32" xr:uid="{00000000-0009-0000-0000-000001000000}"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0"/>
  <sheetViews>
    <sheetView zoomScale="92" workbookViewId="0">
      <selection activeCell="B43" sqref="B42:B43"/>
    </sheetView>
  </sheetViews>
  <sheetFormatPr baseColWidth="10" defaultRowHeight="16" x14ac:dyDescent="0.2"/>
  <cols>
    <col min="1" max="1" width="7" bestFit="1" customWidth="1"/>
    <col min="2" max="2" width="19.1640625" bestFit="1" customWidth="1"/>
    <col min="3" max="3" width="11.83203125" bestFit="1" customWidth="1"/>
    <col min="4" max="4" width="18.33203125" bestFit="1" customWidth="1"/>
    <col min="5" max="5" width="10.83203125" bestFit="1" customWidth="1"/>
  </cols>
  <sheetData>
    <row r="1" spans="1:27" x14ac:dyDescent="0.2">
      <c r="A1" s="21"/>
      <c r="B1" s="43" t="s">
        <v>175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x14ac:dyDescent="0.2">
      <c r="A2" s="43" t="s">
        <v>0</v>
      </c>
      <c r="B2" s="44" t="s">
        <v>133</v>
      </c>
      <c r="C2" s="45"/>
      <c r="D2" s="44" t="s">
        <v>134</v>
      </c>
      <c r="E2" s="45"/>
      <c r="F2" s="44" t="s">
        <v>135</v>
      </c>
      <c r="G2" s="45"/>
      <c r="H2" s="44" t="s">
        <v>136</v>
      </c>
      <c r="I2" s="45"/>
      <c r="J2" s="44" t="s">
        <v>137</v>
      </c>
      <c r="K2" s="45"/>
      <c r="L2" s="44" t="s">
        <v>138</v>
      </c>
      <c r="M2" s="45"/>
      <c r="N2" s="44" t="s">
        <v>139</v>
      </c>
      <c r="O2" s="45"/>
      <c r="P2" s="44" t="s">
        <v>140</v>
      </c>
      <c r="Q2" s="45"/>
      <c r="R2" s="44" t="s">
        <v>141</v>
      </c>
      <c r="S2" s="45"/>
      <c r="T2" s="44" t="s">
        <v>142</v>
      </c>
      <c r="U2" s="45"/>
      <c r="V2" s="44" t="s">
        <v>143</v>
      </c>
      <c r="W2" s="45"/>
      <c r="X2" s="44" t="s">
        <v>144</v>
      </c>
      <c r="Y2" s="45"/>
      <c r="Z2" s="44" t="s">
        <v>145</v>
      </c>
      <c r="AA2" s="45"/>
    </row>
    <row r="3" spans="1:27" x14ac:dyDescent="0.2">
      <c r="A3" s="43"/>
      <c r="B3" s="44" t="s">
        <v>176</v>
      </c>
      <c r="C3" s="45"/>
      <c r="D3" s="44" t="s">
        <v>176</v>
      </c>
      <c r="E3" s="45"/>
      <c r="F3" s="44" t="s">
        <v>176</v>
      </c>
      <c r="G3" s="45"/>
      <c r="H3" s="44" t="s">
        <v>176</v>
      </c>
      <c r="I3" s="45"/>
      <c r="J3" s="44" t="s">
        <v>176</v>
      </c>
      <c r="K3" s="45"/>
      <c r="L3" s="44" t="s">
        <v>176</v>
      </c>
      <c r="M3" s="45"/>
      <c r="N3" s="44" t="s">
        <v>176</v>
      </c>
      <c r="O3" s="45"/>
      <c r="P3" s="44" t="s">
        <v>176</v>
      </c>
      <c r="Q3" s="45"/>
      <c r="R3" s="44" t="s">
        <v>176</v>
      </c>
      <c r="S3" s="45"/>
      <c r="T3" s="44" t="s">
        <v>176</v>
      </c>
      <c r="U3" s="45"/>
      <c r="V3" s="44" t="s">
        <v>176</v>
      </c>
      <c r="W3" s="45"/>
      <c r="X3" s="44" t="s">
        <v>176</v>
      </c>
      <c r="Y3" s="45"/>
      <c r="Z3" s="44" t="s">
        <v>177</v>
      </c>
      <c r="AA3" s="45"/>
    </row>
    <row r="4" spans="1:27" x14ac:dyDescent="0.2">
      <c r="A4" s="43"/>
      <c r="B4" s="41" t="s">
        <v>146</v>
      </c>
      <c r="C4" s="41" t="s">
        <v>147</v>
      </c>
      <c r="D4" s="41" t="s">
        <v>146</v>
      </c>
      <c r="E4" s="41" t="s">
        <v>147</v>
      </c>
      <c r="F4" s="41" t="s">
        <v>146</v>
      </c>
      <c r="G4" s="41" t="s">
        <v>147</v>
      </c>
      <c r="H4" s="41" t="s">
        <v>146</v>
      </c>
      <c r="I4" s="41" t="s">
        <v>147</v>
      </c>
      <c r="J4" s="41" t="s">
        <v>146</v>
      </c>
      <c r="K4" s="41" t="s">
        <v>147</v>
      </c>
      <c r="L4" s="41" t="s">
        <v>146</v>
      </c>
      <c r="M4" s="41" t="s">
        <v>147</v>
      </c>
      <c r="N4" s="41" t="s">
        <v>146</v>
      </c>
      <c r="O4" s="41" t="s">
        <v>147</v>
      </c>
      <c r="P4" s="41" t="s">
        <v>146</v>
      </c>
      <c r="Q4" s="41" t="s">
        <v>147</v>
      </c>
      <c r="R4" s="41" t="s">
        <v>146</v>
      </c>
      <c r="S4" s="41" t="s">
        <v>147</v>
      </c>
      <c r="T4" s="41" t="s">
        <v>146</v>
      </c>
      <c r="U4" s="41" t="s">
        <v>147</v>
      </c>
      <c r="V4" s="41" t="s">
        <v>146</v>
      </c>
      <c r="W4" s="41" t="s">
        <v>147</v>
      </c>
      <c r="X4" s="41" t="s">
        <v>146</v>
      </c>
      <c r="Y4" s="41" t="s">
        <v>147</v>
      </c>
      <c r="Z4" s="41" t="s">
        <v>146</v>
      </c>
      <c r="AA4" s="41" t="s">
        <v>147</v>
      </c>
    </row>
    <row r="5" spans="1:27" x14ac:dyDescent="0.2">
      <c r="A5" s="21" t="s">
        <v>14</v>
      </c>
      <c r="B5" s="24">
        <v>32</v>
      </c>
      <c r="C5" s="24">
        <v>28</v>
      </c>
      <c r="D5" s="24">
        <v>28</v>
      </c>
      <c r="E5" s="24">
        <v>27</v>
      </c>
      <c r="F5" s="24">
        <v>35</v>
      </c>
      <c r="G5" s="24">
        <v>35</v>
      </c>
      <c r="H5" s="24">
        <v>39</v>
      </c>
      <c r="I5" s="24">
        <v>37</v>
      </c>
      <c r="J5" s="24">
        <v>37</v>
      </c>
      <c r="K5" s="24">
        <v>35</v>
      </c>
      <c r="L5" s="24">
        <v>41</v>
      </c>
      <c r="M5" s="24">
        <v>37</v>
      </c>
      <c r="N5" s="24">
        <v>41</v>
      </c>
      <c r="O5" s="24">
        <v>39</v>
      </c>
      <c r="P5" s="24">
        <v>39</v>
      </c>
      <c r="Q5" s="24">
        <v>34</v>
      </c>
      <c r="R5" s="24">
        <v>40</v>
      </c>
      <c r="S5" s="24">
        <v>36</v>
      </c>
      <c r="T5" s="24">
        <v>51</v>
      </c>
      <c r="U5" s="24">
        <v>48</v>
      </c>
      <c r="V5" s="24">
        <v>36</v>
      </c>
      <c r="W5" s="24">
        <v>31</v>
      </c>
      <c r="X5" s="24">
        <v>36</v>
      </c>
      <c r="Y5" s="24">
        <v>33</v>
      </c>
      <c r="Z5" s="24">
        <v>38</v>
      </c>
      <c r="AA5" s="24">
        <v>34</v>
      </c>
    </row>
    <row r="6" spans="1:27" x14ac:dyDescent="0.2">
      <c r="A6" s="21" t="s">
        <v>18</v>
      </c>
      <c r="B6" s="24">
        <v>34</v>
      </c>
      <c r="C6" s="24">
        <v>26</v>
      </c>
      <c r="D6" s="24">
        <v>28</v>
      </c>
      <c r="E6" s="24">
        <v>23</v>
      </c>
      <c r="F6" s="24">
        <v>26</v>
      </c>
      <c r="G6" s="24">
        <v>23</v>
      </c>
      <c r="H6" s="24">
        <v>26</v>
      </c>
      <c r="I6" s="24">
        <v>23</v>
      </c>
      <c r="J6" s="24">
        <v>24</v>
      </c>
      <c r="K6" s="24">
        <v>22</v>
      </c>
      <c r="L6" s="24">
        <v>25</v>
      </c>
      <c r="M6" s="24">
        <v>20</v>
      </c>
      <c r="N6" s="24">
        <v>18</v>
      </c>
      <c r="O6" s="24">
        <v>15</v>
      </c>
      <c r="P6" s="24">
        <v>17</v>
      </c>
      <c r="Q6" s="24">
        <v>15</v>
      </c>
      <c r="R6" s="24">
        <v>19</v>
      </c>
      <c r="S6" s="24">
        <v>17</v>
      </c>
      <c r="T6" s="24">
        <v>20</v>
      </c>
      <c r="U6" s="24">
        <v>13</v>
      </c>
      <c r="V6" s="24">
        <v>17</v>
      </c>
      <c r="W6" s="24">
        <v>12</v>
      </c>
      <c r="X6" s="24">
        <v>16</v>
      </c>
      <c r="Y6" s="24">
        <v>12</v>
      </c>
      <c r="Z6" s="24">
        <v>18</v>
      </c>
      <c r="AA6" s="24">
        <v>15</v>
      </c>
    </row>
    <row r="7" spans="1:27" x14ac:dyDescent="0.2">
      <c r="A7" s="21" t="s">
        <v>19</v>
      </c>
      <c r="B7" s="24">
        <v>7</v>
      </c>
      <c r="C7" s="24">
        <v>5</v>
      </c>
      <c r="D7" s="24">
        <v>8</v>
      </c>
      <c r="E7" s="24">
        <v>3</v>
      </c>
      <c r="F7" s="24">
        <v>8</v>
      </c>
      <c r="G7" s="24">
        <v>3</v>
      </c>
      <c r="H7" s="24">
        <v>8</v>
      </c>
      <c r="I7" s="24">
        <v>4</v>
      </c>
      <c r="J7" s="24">
        <v>7</v>
      </c>
      <c r="K7" s="24">
        <v>4</v>
      </c>
      <c r="L7" s="24">
        <v>8</v>
      </c>
      <c r="M7" s="24">
        <v>5</v>
      </c>
      <c r="N7" s="24">
        <v>7</v>
      </c>
      <c r="O7" s="24">
        <v>4</v>
      </c>
      <c r="P7" s="24">
        <v>8</v>
      </c>
      <c r="Q7" s="24">
        <v>4</v>
      </c>
      <c r="R7" s="24">
        <v>10</v>
      </c>
      <c r="S7" s="24">
        <v>5</v>
      </c>
      <c r="T7" s="24">
        <v>8</v>
      </c>
      <c r="U7" s="24">
        <v>6</v>
      </c>
      <c r="V7" s="24">
        <v>8</v>
      </c>
      <c r="W7" s="24">
        <v>6</v>
      </c>
      <c r="X7" s="24">
        <v>9</v>
      </c>
      <c r="Y7" s="24">
        <v>6</v>
      </c>
      <c r="Z7" s="24">
        <v>10</v>
      </c>
      <c r="AA7" s="24">
        <v>7</v>
      </c>
    </row>
    <row r="8" spans="1:27" x14ac:dyDescent="0.2">
      <c r="A8" s="21" t="s">
        <v>15</v>
      </c>
      <c r="B8" s="24">
        <v>12</v>
      </c>
      <c r="C8" s="24">
        <v>9</v>
      </c>
      <c r="D8" s="24">
        <v>12</v>
      </c>
      <c r="E8" s="24">
        <v>11</v>
      </c>
      <c r="F8" s="24">
        <v>13</v>
      </c>
      <c r="G8" s="24">
        <v>10</v>
      </c>
      <c r="H8" s="24">
        <v>12</v>
      </c>
      <c r="I8" s="24">
        <v>7</v>
      </c>
      <c r="J8" s="24">
        <v>10</v>
      </c>
      <c r="K8" s="24">
        <v>8</v>
      </c>
      <c r="L8" s="24">
        <v>10</v>
      </c>
      <c r="M8" s="24">
        <v>7</v>
      </c>
      <c r="N8" s="24">
        <v>6</v>
      </c>
      <c r="O8" s="24">
        <v>6</v>
      </c>
      <c r="P8" s="24">
        <v>6</v>
      </c>
      <c r="Q8" s="24">
        <v>6</v>
      </c>
      <c r="R8" s="24">
        <v>6</v>
      </c>
      <c r="S8" s="24">
        <v>6</v>
      </c>
      <c r="T8" s="24">
        <v>8</v>
      </c>
      <c r="U8" s="24">
        <v>7</v>
      </c>
      <c r="V8" s="24">
        <v>5</v>
      </c>
      <c r="W8" s="24">
        <v>4</v>
      </c>
      <c r="X8" s="24">
        <v>5</v>
      </c>
      <c r="Y8" s="24">
        <v>4</v>
      </c>
      <c r="Z8" s="24">
        <v>4</v>
      </c>
      <c r="AA8" s="24">
        <v>4</v>
      </c>
    </row>
    <row r="9" spans="1:27" x14ac:dyDescent="0.2">
      <c r="A9" s="21" t="s">
        <v>17</v>
      </c>
      <c r="B9" s="24">
        <v>13</v>
      </c>
      <c r="C9" s="24">
        <v>11</v>
      </c>
      <c r="D9" s="24">
        <v>11</v>
      </c>
      <c r="E9" s="24">
        <v>10</v>
      </c>
      <c r="F9" s="24">
        <v>6</v>
      </c>
      <c r="G9" s="24">
        <v>6</v>
      </c>
      <c r="H9" s="24">
        <v>9</v>
      </c>
      <c r="I9" s="24">
        <v>3</v>
      </c>
      <c r="J9" s="24">
        <v>6</v>
      </c>
      <c r="K9" s="24">
        <v>2</v>
      </c>
      <c r="L9" s="24">
        <v>6</v>
      </c>
      <c r="M9" s="24">
        <v>3</v>
      </c>
      <c r="N9" s="24">
        <v>5</v>
      </c>
      <c r="O9" s="24">
        <v>4</v>
      </c>
      <c r="P9" s="24">
        <v>7</v>
      </c>
      <c r="Q9" s="24">
        <v>4</v>
      </c>
      <c r="R9" s="24">
        <v>9</v>
      </c>
      <c r="S9" s="24">
        <v>7</v>
      </c>
      <c r="T9" s="24">
        <v>10</v>
      </c>
      <c r="U9" s="24">
        <v>7</v>
      </c>
      <c r="V9" s="24">
        <v>8</v>
      </c>
      <c r="W9" s="24">
        <v>4</v>
      </c>
      <c r="X9" s="24">
        <v>14</v>
      </c>
      <c r="Y9" s="24">
        <v>7</v>
      </c>
      <c r="Z9" s="24">
        <v>18</v>
      </c>
      <c r="AA9" s="24">
        <v>11</v>
      </c>
    </row>
    <row r="10" spans="1:27" x14ac:dyDescent="0.2">
      <c r="A10" s="21" t="s">
        <v>20</v>
      </c>
      <c r="B10" s="24">
        <v>17</v>
      </c>
      <c r="C10" s="24">
        <v>9</v>
      </c>
      <c r="D10" s="24">
        <v>13</v>
      </c>
      <c r="E10" s="24">
        <v>9</v>
      </c>
      <c r="F10" s="24">
        <v>15</v>
      </c>
      <c r="G10" s="24">
        <v>10</v>
      </c>
      <c r="H10" s="24">
        <v>37</v>
      </c>
      <c r="I10" s="24">
        <v>28</v>
      </c>
      <c r="J10" s="24">
        <v>36</v>
      </c>
      <c r="K10" s="24">
        <v>20</v>
      </c>
      <c r="L10" s="24">
        <v>34</v>
      </c>
      <c r="M10" s="24">
        <v>28</v>
      </c>
      <c r="N10" s="24">
        <v>32</v>
      </c>
      <c r="O10" s="24">
        <v>23</v>
      </c>
      <c r="P10" s="24">
        <v>26</v>
      </c>
      <c r="Q10" s="24">
        <v>19</v>
      </c>
      <c r="R10" s="24">
        <v>27</v>
      </c>
      <c r="S10" s="24">
        <v>19</v>
      </c>
      <c r="T10" s="24">
        <v>19</v>
      </c>
      <c r="U10" s="24">
        <v>15</v>
      </c>
      <c r="V10" s="24">
        <v>18</v>
      </c>
      <c r="W10" s="24">
        <v>12</v>
      </c>
      <c r="X10" s="24">
        <v>19</v>
      </c>
      <c r="Y10" s="24">
        <v>10</v>
      </c>
      <c r="Z10" s="24">
        <v>19</v>
      </c>
      <c r="AA10" s="24">
        <v>10</v>
      </c>
    </row>
    <row r="11" spans="1:27" x14ac:dyDescent="0.2">
      <c r="A11" s="21" t="s">
        <v>16</v>
      </c>
      <c r="B11" s="24">
        <v>4</v>
      </c>
      <c r="C11" s="24">
        <v>2</v>
      </c>
      <c r="D11" s="24">
        <v>7</v>
      </c>
      <c r="E11" s="24">
        <v>6</v>
      </c>
      <c r="F11" s="24">
        <v>7</v>
      </c>
      <c r="G11" s="24">
        <v>3</v>
      </c>
      <c r="H11" s="24">
        <v>6</v>
      </c>
      <c r="I11" s="24">
        <v>2</v>
      </c>
      <c r="J11" s="24">
        <v>4</v>
      </c>
      <c r="K11" s="24">
        <v>2</v>
      </c>
      <c r="L11" s="24">
        <v>3</v>
      </c>
      <c r="M11" s="24">
        <v>2</v>
      </c>
      <c r="N11" s="24">
        <v>13</v>
      </c>
      <c r="O11" s="24">
        <v>10</v>
      </c>
      <c r="P11" s="24">
        <v>13</v>
      </c>
      <c r="Q11" s="24">
        <v>11</v>
      </c>
      <c r="R11" s="24">
        <v>13</v>
      </c>
      <c r="S11" s="24">
        <v>11</v>
      </c>
      <c r="T11" s="24">
        <v>18</v>
      </c>
      <c r="U11" s="24">
        <v>17</v>
      </c>
      <c r="V11" s="24">
        <v>21</v>
      </c>
      <c r="W11" s="24">
        <v>17</v>
      </c>
      <c r="X11" s="24">
        <v>19</v>
      </c>
      <c r="Y11" s="24">
        <v>16</v>
      </c>
      <c r="Z11" s="24">
        <v>20</v>
      </c>
      <c r="AA11" s="24">
        <v>17</v>
      </c>
    </row>
    <row r="13" spans="1:27" x14ac:dyDescent="0.2">
      <c r="A13" s="25" t="s">
        <v>148</v>
      </c>
      <c r="B13" s="26">
        <v>119</v>
      </c>
      <c r="C13" s="26">
        <v>90</v>
      </c>
      <c r="D13" s="26">
        <v>107</v>
      </c>
      <c r="E13" s="26">
        <v>89</v>
      </c>
      <c r="F13" s="26">
        <v>110</v>
      </c>
      <c r="G13" s="26">
        <v>90</v>
      </c>
      <c r="H13" s="26">
        <v>137</v>
      </c>
      <c r="I13" s="26">
        <v>104</v>
      </c>
      <c r="J13" s="26">
        <v>124</v>
      </c>
      <c r="K13" s="26">
        <v>93</v>
      </c>
      <c r="L13" s="26">
        <v>127</v>
      </c>
      <c r="M13" s="26">
        <v>102</v>
      </c>
      <c r="N13" s="26">
        <v>122</v>
      </c>
      <c r="O13" s="26">
        <v>101</v>
      </c>
      <c r="P13" s="26">
        <v>116</v>
      </c>
      <c r="Q13" s="26">
        <v>93</v>
      </c>
      <c r="R13" s="26">
        <v>124</v>
      </c>
      <c r="S13" s="26">
        <v>101</v>
      </c>
      <c r="T13" s="26">
        <v>134</v>
      </c>
      <c r="U13" s="26">
        <v>113</v>
      </c>
      <c r="V13" s="26">
        <v>113</v>
      </c>
      <c r="W13" s="26">
        <v>86</v>
      </c>
      <c r="X13" s="26">
        <v>118</v>
      </c>
      <c r="Y13" s="26">
        <v>88</v>
      </c>
      <c r="Z13" s="26">
        <v>127</v>
      </c>
      <c r="AA13" s="26">
        <v>98</v>
      </c>
    </row>
    <row r="15" spans="1:27" x14ac:dyDescent="0.2">
      <c r="A15" s="48" t="s">
        <v>0</v>
      </c>
      <c r="B15" s="22" t="s">
        <v>133</v>
      </c>
      <c r="C15" s="22" t="s">
        <v>134</v>
      </c>
      <c r="D15" s="22" t="s">
        <v>135</v>
      </c>
      <c r="E15" s="22" t="s">
        <v>136</v>
      </c>
      <c r="F15" s="22" t="s">
        <v>137</v>
      </c>
      <c r="G15" s="22" t="s">
        <v>138</v>
      </c>
      <c r="H15" s="22" t="s">
        <v>139</v>
      </c>
      <c r="I15" s="22" t="s">
        <v>140</v>
      </c>
      <c r="J15" s="22" t="s">
        <v>141</v>
      </c>
      <c r="K15" s="22" t="s">
        <v>142</v>
      </c>
      <c r="L15" s="22" t="s">
        <v>143</v>
      </c>
      <c r="M15" s="22" t="s">
        <v>144</v>
      </c>
      <c r="N15" s="40" t="s">
        <v>145</v>
      </c>
      <c r="O15" s="36"/>
      <c r="P15" s="46"/>
      <c r="Q15" s="47"/>
      <c r="R15" s="46"/>
      <c r="S15" s="47"/>
      <c r="T15" s="46"/>
      <c r="U15" s="47"/>
      <c r="V15" s="46"/>
      <c r="W15" s="47"/>
      <c r="X15" s="46"/>
      <c r="Y15" s="47"/>
      <c r="Z15" s="46"/>
      <c r="AA15" s="47"/>
    </row>
    <row r="16" spans="1:27" x14ac:dyDescent="0.2">
      <c r="A16" s="49"/>
      <c r="B16" s="23" t="s">
        <v>147</v>
      </c>
      <c r="C16" s="23" t="s">
        <v>147</v>
      </c>
      <c r="D16" s="23" t="s">
        <v>147</v>
      </c>
      <c r="E16" s="23" t="s">
        <v>147</v>
      </c>
      <c r="F16" s="23" t="s">
        <v>147</v>
      </c>
      <c r="G16" s="23" t="s">
        <v>147</v>
      </c>
      <c r="H16" s="23" t="s">
        <v>147</v>
      </c>
      <c r="I16" s="23" t="s">
        <v>147</v>
      </c>
      <c r="J16" s="23" t="s">
        <v>147</v>
      </c>
      <c r="K16" s="23" t="s">
        <v>147</v>
      </c>
      <c r="L16" s="23" t="s">
        <v>147</v>
      </c>
      <c r="M16" s="29" t="s">
        <v>147</v>
      </c>
      <c r="N16" s="23" t="s">
        <v>147</v>
      </c>
      <c r="P16" s="31"/>
      <c r="Q16" s="32"/>
      <c r="R16" s="31"/>
      <c r="S16" s="32"/>
      <c r="T16" s="31"/>
      <c r="U16" s="32"/>
      <c r="V16" s="31"/>
      <c r="W16" s="32"/>
      <c r="X16" s="31"/>
      <c r="Y16" s="32"/>
      <c r="Z16" s="31"/>
      <c r="AA16" s="32"/>
    </row>
    <row r="17" spans="1:27" x14ac:dyDescent="0.2">
      <c r="A17" s="21" t="s">
        <v>14</v>
      </c>
      <c r="B17" s="24">
        <f t="shared" ref="B17:B23" si="0">+C5</f>
        <v>28</v>
      </c>
      <c r="C17" s="24">
        <f t="shared" ref="C17:C23" si="1">+E5</f>
        <v>27</v>
      </c>
      <c r="D17" s="24">
        <f t="shared" ref="D17:D23" si="2">+G5</f>
        <v>35</v>
      </c>
      <c r="E17" s="24">
        <f t="shared" ref="E17:E23" si="3">+I5</f>
        <v>37</v>
      </c>
      <c r="F17" s="24">
        <f t="shared" ref="F17:F23" si="4">+K5</f>
        <v>35</v>
      </c>
      <c r="G17" s="24">
        <f t="shared" ref="G17:G23" si="5">+M5</f>
        <v>37</v>
      </c>
      <c r="H17" s="24">
        <f t="shared" ref="H17:H23" si="6">+O5</f>
        <v>39</v>
      </c>
      <c r="I17" s="24">
        <f t="shared" ref="I17:I23" si="7">+Q5</f>
        <v>34</v>
      </c>
      <c r="J17" s="24">
        <f t="shared" ref="J17:J23" si="8">+S5</f>
        <v>36</v>
      </c>
      <c r="K17" s="24">
        <f t="shared" ref="K17:K23" si="9">+U5</f>
        <v>48</v>
      </c>
      <c r="L17" s="24">
        <f t="shared" ref="L17:L23" si="10">+W5</f>
        <v>31</v>
      </c>
      <c r="M17" s="30">
        <f t="shared" ref="M17:M23" si="11">+Y5</f>
        <v>33</v>
      </c>
      <c r="N17" s="24">
        <f t="shared" ref="N17:N23" si="12">+AA5</f>
        <v>34</v>
      </c>
      <c r="P17" s="33"/>
      <c r="Q17" s="32"/>
      <c r="R17" s="33"/>
      <c r="S17" s="32"/>
      <c r="T17" s="33"/>
      <c r="U17" s="32"/>
      <c r="V17" s="33"/>
      <c r="W17" s="32"/>
      <c r="X17" s="33"/>
      <c r="Y17" s="32"/>
      <c r="Z17" s="33"/>
      <c r="AA17" s="32"/>
    </row>
    <row r="18" spans="1:27" x14ac:dyDescent="0.2">
      <c r="A18" s="21" t="s">
        <v>18</v>
      </c>
      <c r="B18" s="24">
        <f t="shared" si="0"/>
        <v>26</v>
      </c>
      <c r="C18" s="24">
        <f t="shared" si="1"/>
        <v>23</v>
      </c>
      <c r="D18" s="24">
        <f t="shared" si="2"/>
        <v>23</v>
      </c>
      <c r="E18" s="24">
        <f t="shared" si="3"/>
        <v>23</v>
      </c>
      <c r="F18" s="24">
        <f t="shared" si="4"/>
        <v>22</v>
      </c>
      <c r="G18" s="24">
        <f t="shared" si="5"/>
        <v>20</v>
      </c>
      <c r="H18" s="24">
        <f t="shared" si="6"/>
        <v>15</v>
      </c>
      <c r="I18" s="24">
        <f t="shared" si="7"/>
        <v>15</v>
      </c>
      <c r="J18" s="24">
        <f t="shared" si="8"/>
        <v>17</v>
      </c>
      <c r="K18" s="24">
        <f t="shared" si="9"/>
        <v>13</v>
      </c>
      <c r="L18" s="24">
        <f t="shared" si="10"/>
        <v>12</v>
      </c>
      <c r="M18" s="30">
        <f t="shared" si="11"/>
        <v>12</v>
      </c>
      <c r="N18" s="24">
        <f t="shared" si="12"/>
        <v>15</v>
      </c>
      <c r="P18" s="33"/>
      <c r="Q18" s="32"/>
      <c r="R18" s="33"/>
      <c r="S18" s="32"/>
      <c r="T18" s="33"/>
      <c r="U18" s="32"/>
      <c r="V18" s="33"/>
      <c r="W18" s="32"/>
      <c r="X18" s="33"/>
      <c r="Y18" s="32"/>
      <c r="Z18" s="33"/>
      <c r="AA18" s="32"/>
    </row>
    <row r="19" spans="1:27" x14ac:dyDescent="0.2">
      <c r="A19" s="21" t="s">
        <v>19</v>
      </c>
      <c r="B19" s="24">
        <f t="shared" si="0"/>
        <v>5</v>
      </c>
      <c r="C19" s="24">
        <f t="shared" si="1"/>
        <v>3</v>
      </c>
      <c r="D19" s="24">
        <f t="shared" si="2"/>
        <v>3</v>
      </c>
      <c r="E19" s="24">
        <f t="shared" si="3"/>
        <v>4</v>
      </c>
      <c r="F19" s="24">
        <f t="shared" si="4"/>
        <v>4</v>
      </c>
      <c r="G19" s="24">
        <f t="shared" si="5"/>
        <v>5</v>
      </c>
      <c r="H19" s="24">
        <f t="shared" si="6"/>
        <v>4</v>
      </c>
      <c r="I19" s="24">
        <f t="shared" si="7"/>
        <v>4</v>
      </c>
      <c r="J19" s="24">
        <f t="shared" si="8"/>
        <v>5</v>
      </c>
      <c r="K19" s="24">
        <f t="shared" si="9"/>
        <v>6</v>
      </c>
      <c r="L19" s="24">
        <f t="shared" si="10"/>
        <v>6</v>
      </c>
      <c r="M19" s="30">
        <f t="shared" si="11"/>
        <v>6</v>
      </c>
      <c r="N19" s="24">
        <f t="shared" si="12"/>
        <v>7</v>
      </c>
      <c r="P19" s="33"/>
      <c r="Q19" s="32"/>
      <c r="R19" s="33"/>
      <c r="S19" s="32"/>
      <c r="T19" s="33"/>
      <c r="U19" s="32"/>
      <c r="V19" s="33"/>
      <c r="W19" s="32"/>
      <c r="X19" s="33"/>
      <c r="Y19" s="32"/>
      <c r="Z19" s="33"/>
      <c r="AA19" s="32"/>
    </row>
    <row r="20" spans="1:27" x14ac:dyDescent="0.2">
      <c r="A20" s="21" t="s">
        <v>15</v>
      </c>
      <c r="B20" s="24">
        <f t="shared" si="0"/>
        <v>9</v>
      </c>
      <c r="C20" s="24">
        <f t="shared" si="1"/>
        <v>11</v>
      </c>
      <c r="D20" s="24">
        <f t="shared" si="2"/>
        <v>10</v>
      </c>
      <c r="E20" s="24">
        <f t="shared" si="3"/>
        <v>7</v>
      </c>
      <c r="F20" s="24">
        <f t="shared" si="4"/>
        <v>8</v>
      </c>
      <c r="G20" s="24">
        <f t="shared" si="5"/>
        <v>7</v>
      </c>
      <c r="H20" s="24">
        <f t="shared" si="6"/>
        <v>6</v>
      </c>
      <c r="I20" s="24">
        <f t="shared" si="7"/>
        <v>6</v>
      </c>
      <c r="J20" s="24">
        <f t="shared" si="8"/>
        <v>6</v>
      </c>
      <c r="K20" s="24">
        <f t="shared" si="9"/>
        <v>7</v>
      </c>
      <c r="L20" s="24">
        <f t="shared" si="10"/>
        <v>4</v>
      </c>
      <c r="M20" s="30">
        <f t="shared" si="11"/>
        <v>4</v>
      </c>
      <c r="N20" s="24">
        <f t="shared" si="12"/>
        <v>4</v>
      </c>
      <c r="P20" s="33"/>
      <c r="Q20" s="32"/>
      <c r="R20" s="33"/>
      <c r="S20" s="32"/>
      <c r="T20" s="33"/>
      <c r="U20" s="32"/>
      <c r="V20" s="33"/>
      <c r="W20" s="32"/>
      <c r="X20" s="33"/>
      <c r="Y20" s="32"/>
      <c r="Z20" s="33"/>
      <c r="AA20" s="32"/>
    </row>
    <row r="21" spans="1:27" x14ac:dyDescent="0.2">
      <c r="A21" s="21" t="s">
        <v>17</v>
      </c>
      <c r="B21" s="24">
        <f t="shared" si="0"/>
        <v>11</v>
      </c>
      <c r="C21" s="24">
        <f t="shared" si="1"/>
        <v>10</v>
      </c>
      <c r="D21" s="24">
        <f t="shared" si="2"/>
        <v>6</v>
      </c>
      <c r="E21" s="24">
        <f t="shared" si="3"/>
        <v>3</v>
      </c>
      <c r="F21" s="24">
        <f t="shared" si="4"/>
        <v>2</v>
      </c>
      <c r="G21" s="24">
        <f t="shared" si="5"/>
        <v>3</v>
      </c>
      <c r="H21" s="24">
        <f t="shared" si="6"/>
        <v>4</v>
      </c>
      <c r="I21" s="24">
        <f t="shared" si="7"/>
        <v>4</v>
      </c>
      <c r="J21" s="24">
        <f t="shared" si="8"/>
        <v>7</v>
      </c>
      <c r="K21" s="24">
        <f t="shared" si="9"/>
        <v>7</v>
      </c>
      <c r="L21" s="24">
        <f t="shared" si="10"/>
        <v>4</v>
      </c>
      <c r="M21" s="30">
        <f t="shared" si="11"/>
        <v>7</v>
      </c>
      <c r="N21" s="24">
        <f t="shared" si="12"/>
        <v>11</v>
      </c>
      <c r="P21" s="33"/>
      <c r="Q21" s="32"/>
      <c r="R21" s="33"/>
      <c r="S21" s="32"/>
      <c r="T21" s="33"/>
      <c r="U21" s="32"/>
      <c r="V21" s="33"/>
      <c r="W21" s="32"/>
      <c r="X21" s="33"/>
      <c r="Y21" s="32"/>
      <c r="Z21" s="33"/>
      <c r="AA21" s="32"/>
    </row>
    <row r="22" spans="1:27" x14ac:dyDescent="0.2">
      <c r="A22" s="21" t="s">
        <v>20</v>
      </c>
      <c r="B22" s="24">
        <f t="shared" si="0"/>
        <v>9</v>
      </c>
      <c r="C22" s="24">
        <f t="shared" si="1"/>
        <v>9</v>
      </c>
      <c r="D22" s="24">
        <f t="shared" si="2"/>
        <v>10</v>
      </c>
      <c r="E22" s="24">
        <f t="shared" si="3"/>
        <v>28</v>
      </c>
      <c r="F22" s="24">
        <f t="shared" si="4"/>
        <v>20</v>
      </c>
      <c r="G22" s="24">
        <f t="shared" si="5"/>
        <v>28</v>
      </c>
      <c r="H22" s="24">
        <f t="shared" si="6"/>
        <v>23</v>
      </c>
      <c r="I22" s="24">
        <f t="shared" si="7"/>
        <v>19</v>
      </c>
      <c r="J22" s="24">
        <f t="shared" si="8"/>
        <v>19</v>
      </c>
      <c r="K22" s="24">
        <f t="shared" si="9"/>
        <v>15</v>
      </c>
      <c r="L22" s="24">
        <f t="shared" si="10"/>
        <v>12</v>
      </c>
      <c r="M22" s="30">
        <f t="shared" si="11"/>
        <v>10</v>
      </c>
      <c r="N22" s="24">
        <f t="shared" si="12"/>
        <v>10</v>
      </c>
      <c r="P22" s="33"/>
      <c r="Q22" s="32"/>
      <c r="R22" s="33"/>
      <c r="S22" s="32"/>
      <c r="T22" s="33"/>
      <c r="U22" s="32"/>
      <c r="V22" s="33"/>
      <c r="W22" s="32"/>
      <c r="X22" s="33"/>
      <c r="Y22" s="32"/>
      <c r="Z22" s="33"/>
      <c r="AA22" s="32"/>
    </row>
    <row r="23" spans="1:27" x14ac:dyDescent="0.2">
      <c r="A23" s="21" t="s">
        <v>16</v>
      </c>
      <c r="B23" s="24">
        <f t="shared" si="0"/>
        <v>2</v>
      </c>
      <c r="C23" s="24">
        <f t="shared" si="1"/>
        <v>6</v>
      </c>
      <c r="D23" s="24">
        <f t="shared" si="2"/>
        <v>3</v>
      </c>
      <c r="E23" s="24">
        <f t="shared" si="3"/>
        <v>2</v>
      </c>
      <c r="F23" s="24">
        <f t="shared" si="4"/>
        <v>2</v>
      </c>
      <c r="G23" s="24">
        <f t="shared" si="5"/>
        <v>2</v>
      </c>
      <c r="H23" s="24">
        <f t="shared" si="6"/>
        <v>10</v>
      </c>
      <c r="I23" s="24">
        <f t="shared" si="7"/>
        <v>11</v>
      </c>
      <c r="J23" s="24">
        <f t="shared" si="8"/>
        <v>11</v>
      </c>
      <c r="K23" s="24">
        <f t="shared" si="9"/>
        <v>17</v>
      </c>
      <c r="L23" s="24">
        <f t="shared" si="10"/>
        <v>17</v>
      </c>
      <c r="M23" s="30">
        <f t="shared" si="11"/>
        <v>16</v>
      </c>
      <c r="N23" s="24">
        <f t="shared" si="12"/>
        <v>17</v>
      </c>
      <c r="P23" s="33"/>
      <c r="Q23" s="32"/>
      <c r="R23" s="33"/>
      <c r="S23" s="32"/>
      <c r="T23" s="33"/>
      <c r="U23" s="32"/>
      <c r="V23" s="33"/>
      <c r="W23" s="32"/>
      <c r="X23" s="33"/>
      <c r="Y23" s="32"/>
      <c r="Z23" s="33"/>
      <c r="AA23" s="32"/>
    </row>
    <row r="24" spans="1:27" x14ac:dyDescent="0.2">
      <c r="A24" s="35"/>
      <c r="N24" s="37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">
      <c r="A25" s="25" t="s">
        <v>148</v>
      </c>
      <c r="B25" s="24">
        <f t="shared" ref="B25:N25" si="13">SUM(B17:B24)</f>
        <v>90</v>
      </c>
      <c r="C25" s="24">
        <f t="shared" si="13"/>
        <v>89</v>
      </c>
      <c r="D25" s="24">
        <f t="shared" si="13"/>
        <v>90</v>
      </c>
      <c r="E25" s="24">
        <f t="shared" si="13"/>
        <v>104</v>
      </c>
      <c r="F25" s="24">
        <f t="shared" si="13"/>
        <v>93</v>
      </c>
      <c r="G25" s="24">
        <f t="shared" si="13"/>
        <v>102</v>
      </c>
      <c r="H25" s="24">
        <f t="shared" si="13"/>
        <v>101</v>
      </c>
      <c r="I25" s="24">
        <f t="shared" si="13"/>
        <v>93</v>
      </c>
      <c r="J25" s="24">
        <f t="shared" si="13"/>
        <v>101</v>
      </c>
      <c r="K25" s="24">
        <f t="shared" si="13"/>
        <v>113</v>
      </c>
      <c r="L25" s="24">
        <f t="shared" si="13"/>
        <v>86</v>
      </c>
      <c r="M25" s="24">
        <f t="shared" si="13"/>
        <v>88</v>
      </c>
      <c r="N25" s="24">
        <f t="shared" si="13"/>
        <v>98</v>
      </c>
      <c r="P25" s="34"/>
      <c r="Q25" s="32"/>
      <c r="R25" s="34"/>
      <c r="S25" s="32"/>
      <c r="T25" s="34"/>
      <c r="U25" s="32"/>
      <c r="V25" s="34"/>
      <c r="W25" s="32"/>
      <c r="X25" s="34"/>
      <c r="Y25" s="32"/>
      <c r="Z25" s="34"/>
      <c r="AA25" s="32"/>
    </row>
    <row r="30" spans="1:27" x14ac:dyDescent="0.2">
      <c r="A30" s="27" t="s">
        <v>149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  <c r="N30" s="6" t="s">
        <v>13</v>
      </c>
    </row>
    <row r="31" spans="1:27" x14ac:dyDescent="0.2">
      <c r="A31" s="2" t="s">
        <v>150</v>
      </c>
      <c r="B31" s="1">
        <f>+'Bench Forecast'!B9</f>
        <v>146</v>
      </c>
      <c r="C31" s="1">
        <f>+'Bench Forecast'!C9</f>
        <v>115</v>
      </c>
      <c r="D31" s="1">
        <f>+'Bench Forecast'!D9</f>
        <v>104</v>
      </c>
      <c r="E31" s="1">
        <f>+'Bench Forecast'!E9</f>
        <v>124</v>
      </c>
      <c r="F31" s="1">
        <f>+'Bench Forecast'!F9</f>
        <v>114</v>
      </c>
      <c r="G31" s="1">
        <f>+'Bench Forecast'!G9</f>
        <v>134</v>
      </c>
      <c r="H31" s="1">
        <f>+'Bench Forecast'!H9</f>
        <v>155</v>
      </c>
      <c r="I31" s="1">
        <f>+'Bench Forecast'!I9</f>
        <v>141</v>
      </c>
      <c r="J31" s="1">
        <f>+'Bench Forecast'!J9</f>
        <v>144</v>
      </c>
      <c r="K31" s="1">
        <f>+'Bench Forecast'!K9</f>
        <v>185</v>
      </c>
      <c r="L31" s="1">
        <f>+'Bench Forecast'!L9</f>
        <v>187</v>
      </c>
      <c r="M31" s="1">
        <f>+'Bench Forecast'!M9</f>
        <v>188</v>
      </c>
      <c r="N31" s="1">
        <f>+'Bench Forecast'!N9</f>
        <v>187</v>
      </c>
    </row>
    <row r="32" spans="1:27" x14ac:dyDescent="0.2">
      <c r="A32" s="2" t="s">
        <v>151</v>
      </c>
      <c r="B32" s="28">
        <f t="shared" ref="B32:N32" si="14">+B25</f>
        <v>90</v>
      </c>
      <c r="C32" s="28">
        <f t="shared" si="14"/>
        <v>89</v>
      </c>
      <c r="D32" s="28">
        <f t="shared" si="14"/>
        <v>90</v>
      </c>
      <c r="E32" s="28">
        <f t="shared" si="14"/>
        <v>104</v>
      </c>
      <c r="F32" s="28">
        <f t="shared" si="14"/>
        <v>93</v>
      </c>
      <c r="G32" s="28">
        <f t="shared" si="14"/>
        <v>102</v>
      </c>
      <c r="H32" s="28">
        <f t="shared" si="14"/>
        <v>101</v>
      </c>
      <c r="I32" s="28">
        <f t="shared" si="14"/>
        <v>93</v>
      </c>
      <c r="J32" s="28">
        <f t="shared" si="14"/>
        <v>101</v>
      </c>
      <c r="K32" s="28">
        <f t="shared" si="14"/>
        <v>113</v>
      </c>
      <c r="L32" s="28">
        <f t="shared" si="14"/>
        <v>86</v>
      </c>
      <c r="M32" s="28">
        <f t="shared" si="14"/>
        <v>88</v>
      </c>
      <c r="N32" s="28">
        <f t="shared" si="14"/>
        <v>98</v>
      </c>
    </row>
    <row r="33" spans="1:14" x14ac:dyDescent="0.2">
      <c r="A33" s="2" t="s">
        <v>152</v>
      </c>
      <c r="B33" s="6">
        <v>159</v>
      </c>
      <c r="C33" s="6">
        <v>161</v>
      </c>
      <c r="D33" s="6">
        <v>154</v>
      </c>
      <c r="E33" s="6">
        <v>156</v>
      </c>
      <c r="F33" s="6">
        <v>152</v>
      </c>
      <c r="G33" s="6">
        <v>165</v>
      </c>
      <c r="H33" s="6">
        <v>175</v>
      </c>
      <c r="I33" s="6">
        <v>176</v>
      </c>
      <c r="J33" s="6">
        <v>171</v>
      </c>
      <c r="K33" s="6">
        <v>196</v>
      </c>
      <c r="L33" s="6">
        <v>192</v>
      </c>
      <c r="M33" s="6">
        <v>191</v>
      </c>
      <c r="N33" s="6">
        <v>187</v>
      </c>
    </row>
    <row r="36" spans="1:14" x14ac:dyDescent="0.2">
      <c r="B36" s="39" t="s">
        <v>153</v>
      </c>
      <c r="C36" s="1"/>
      <c r="D36" s="1"/>
      <c r="E36" s="1"/>
    </row>
    <row r="37" spans="1:14" x14ac:dyDescent="0.2">
      <c r="A37" s="38" t="s">
        <v>154</v>
      </c>
      <c r="B37" s="1" t="s">
        <v>150</v>
      </c>
      <c r="C37" s="1" t="s">
        <v>151</v>
      </c>
      <c r="D37" s="1" t="s">
        <v>152</v>
      </c>
      <c r="E37" s="1" t="s">
        <v>21</v>
      </c>
    </row>
    <row r="38" spans="1:14" x14ac:dyDescent="0.2">
      <c r="A38" s="1" t="s">
        <v>155</v>
      </c>
      <c r="B38" s="51">
        <v>146</v>
      </c>
      <c r="C38" s="51">
        <v>90</v>
      </c>
      <c r="D38" s="51">
        <v>159</v>
      </c>
      <c r="E38" s="51">
        <v>395</v>
      </c>
    </row>
    <row r="39" spans="1:14" x14ac:dyDescent="0.2">
      <c r="A39" s="1" t="s">
        <v>156</v>
      </c>
      <c r="B39" s="51">
        <v>115</v>
      </c>
      <c r="C39" s="51">
        <v>89</v>
      </c>
      <c r="D39" s="51">
        <v>161</v>
      </c>
      <c r="E39" s="51">
        <v>365</v>
      </c>
    </row>
    <row r="40" spans="1:14" x14ac:dyDescent="0.2">
      <c r="A40" s="1" t="s">
        <v>157</v>
      </c>
      <c r="B40" s="51">
        <v>151</v>
      </c>
      <c r="C40" s="51">
        <v>90</v>
      </c>
      <c r="D40" s="51">
        <v>154</v>
      </c>
      <c r="E40" s="51">
        <v>395</v>
      </c>
    </row>
    <row r="41" spans="1:14" x14ac:dyDescent="0.2">
      <c r="A41" s="1" t="s">
        <v>158</v>
      </c>
      <c r="B41" s="51">
        <v>132</v>
      </c>
      <c r="C41" s="51">
        <v>104</v>
      </c>
      <c r="D41" s="51">
        <v>156</v>
      </c>
      <c r="E41" s="51">
        <v>392</v>
      </c>
    </row>
    <row r="42" spans="1:14" x14ac:dyDescent="0.2">
      <c r="A42" s="1" t="s">
        <v>159</v>
      </c>
      <c r="B42" s="51">
        <v>120</v>
      </c>
      <c r="C42" s="51">
        <v>93</v>
      </c>
      <c r="D42" s="51">
        <v>152</v>
      </c>
      <c r="E42" s="51">
        <v>365</v>
      </c>
    </row>
    <row r="43" spans="1:14" x14ac:dyDescent="0.2">
      <c r="A43" s="1" t="s">
        <v>160</v>
      </c>
      <c r="B43" s="51">
        <v>142</v>
      </c>
      <c r="C43" s="51">
        <v>102</v>
      </c>
      <c r="D43" s="51">
        <v>165</v>
      </c>
      <c r="E43" s="51">
        <v>409</v>
      </c>
    </row>
    <row r="44" spans="1:14" x14ac:dyDescent="0.2">
      <c r="A44" s="1" t="s">
        <v>161</v>
      </c>
      <c r="B44" s="51">
        <v>155</v>
      </c>
      <c r="C44" s="51">
        <v>101</v>
      </c>
      <c r="D44" s="51">
        <v>175</v>
      </c>
      <c r="E44" s="51">
        <v>431</v>
      </c>
    </row>
    <row r="45" spans="1:14" x14ac:dyDescent="0.2">
      <c r="A45" s="1" t="s">
        <v>162</v>
      </c>
      <c r="B45" s="51">
        <v>160</v>
      </c>
      <c r="C45" s="51">
        <v>93</v>
      </c>
      <c r="D45" s="51">
        <v>176</v>
      </c>
      <c r="E45" s="51">
        <v>429</v>
      </c>
    </row>
    <row r="46" spans="1:14" x14ac:dyDescent="0.2">
      <c r="A46" s="1" t="s">
        <v>163</v>
      </c>
      <c r="B46" s="51">
        <v>161</v>
      </c>
      <c r="C46" s="51">
        <v>101</v>
      </c>
      <c r="D46" s="51">
        <v>171</v>
      </c>
      <c r="E46" s="51">
        <v>433</v>
      </c>
    </row>
    <row r="47" spans="1:14" x14ac:dyDescent="0.2">
      <c r="A47" s="1" t="s">
        <v>164</v>
      </c>
      <c r="B47" s="51">
        <v>203</v>
      </c>
      <c r="C47" s="51">
        <v>113</v>
      </c>
      <c r="D47" s="51">
        <v>196</v>
      </c>
      <c r="E47" s="51">
        <v>512</v>
      </c>
    </row>
    <row r="48" spans="1:14" x14ac:dyDescent="0.2">
      <c r="A48" s="1" t="s">
        <v>165</v>
      </c>
      <c r="B48" s="51">
        <v>215</v>
      </c>
      <c r="C48" s="51">
        <v>86</v>
      </c>
      <c r="D48" s="51">
        <v>192</v>
      </c>
      <c r="E48" s="51">
        <v>493</v>
      </c>
    </row>
    <row r="49" spans="1:5" x14ac:dyDescent="0.2">
      <c r="A49" s="1" t="s">
        <v>166</v>
      </c>
      <c r="B49" s="51">
        <v>214</v>
      </c>
      <c r="C49" s="51">
        <v>88</v>
      </c>
      <c r="D49" s="51">
        <v>191</v>
      </c>
      <c r="E49" s="51">
        <v>493</v>
      </c>
    </row>
    <row r="50" spans="1:5" x14ac:dyDescent="0.2">
      <c r="A50" s="1" t="s">
        <v>167</v>
      </c>
      <c r="B50" s="51">
        <v>211</v>
      </c>
      <c r="C50" s="51">
        <v>98</v>
      </c>
      <c r="D50" s="51">
        <v>187</v>
      </c>
      <c r="E50" s="51">
        <v>496</v>
      </c>
    </row>
  </sheetData>
  <mergeCells count="35">
    <mergeCell ref="A2:A4"/>
    <mergeCell ref="R15:S15"/>
    <mergeCell ref="A15:A16"/>
    <mergeCell ref="N3:O3"/>
    <mergeCell ref="B2:C2"/>
    <mergeCell ref="D2:E2"/>
    <mergeCell ref="N2:O2"/>
    <mergeCell ref="P2:Q2"/>
    <mergeCell ref="L2:M2"/>
    <mergeCell ref="B3:C3"/>
    <mergeCell ref="V15:W15"/>
    <mergeCell ref="Z2:AA2"/>
    <mergeCell ref="X15:Y15"/>
    <mergeCell ref="P15:Q15"/>
    <mergeCell ref="Z15:AA15"/>
    <mergeCell ref="X2:Y2"/>
    <mergeCell ref="X3:Y3"/>
    <mergeCell ref="V2:W2"/>
    <mergeCell ref="T15:U15"/>
    <mergeCell ref="B1:AA1"/>
    <mergeCell ref="R3:S3"/>
    <mergeCell ref="D3:E3"/>
    <mergeCell ref="H3:I3"/>
    <mergeCell ref="J3:K3"/>
    <mergeCell ref="P3:Q3"/>
    <mergeCell ref="J2:K2"/>
    <mergeCell ref="R2:S2"/>
    <mergeCell ref="T3:U3"/>
    <mergeCell ref="V3:W3"/>
    <mergeCell ref="Z3:AA3"/>
    <mergeCell ref="F2:G2"/>
    <mergeCell ref="H2:I2"/>
    <mergeCell ref="T2:U2"/>
    <mergeCell ref="F3:G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 Forecast</vt:lpstr>
      <vt:lpstr>Historic Bench Data</vt:lpstr>
      <vt:lpstr>Q3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Ugalde Alvarado</dc:creator>
  <cp:lastModifiedBy>Jairo Naranjo Oconitrillo</cp:lastModifiedBy>
  <dcterms:created xsi:type="dcterms:W3CDTF">2025-07-14T18:02:48Z</dcterms:created>
  <dcterms:modified xsi:type="dcterms:W3CDTF">2026-10-20T16:29:22Z</dcterms:modified>
</cp:coreProperties>
</file>